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20029ba5c06f09a/Desktop/Excel Practice/"/>
    </mc:Choice>
  </mc:AlternateContent>
  <xr:revisionPtr revIDLastSave="16" documentId="13_ncr:1_{25F0B851-910A-48F9-9C5D-5B122284351A}" xr6:coauthVersionLast="47" xr6:coauthVersionMax="47" xr10:uidLastSave="{57BB42EF-8584-4AD7-AB95-FD7C31AA24AC}"/>
  <bookViews>
    <workbookView xWindow="-110" yWindow="-110" windowWidth="19420" windowHeight="10300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</definedNames>
  <calcPr calcId="191029"/>
</workbook>
</file>

<file path=xl/calcChain.xml><?xml version="1.0" encoding="utf-8"?>
<calcChain xmlns="http://schemas.openxmlformats.org/spreadsheetml/2006/main">
  <c r="H66" i="1" l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R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<sst xmlns="http://schemas.openxmlformats.org/spreadsheetml/2006/main" count="466" uniqueCount="232">
  <si>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</si>
  <si>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</si>
  <si>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</si>
  <si>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</si>
  <si>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</si>
  <si>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</si>
  <si>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</si>
  <si>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</si>
  <si>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</si>
  <si>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</si>
  <si>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</si>
  <si>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</si>
  <si>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</si>
  <si>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</si>
  <si>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</si>
  <si>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</si>
  <si>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</si>
  <si>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</si>
  <si>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</si>
  <si>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</si>
  <si>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</si>
  <si>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</si>
  <si>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</si>
  <si>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</si>
  <si>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</si>
  <si>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</si>
  <si>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</si>
  <si>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</si>
  <si>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</si>
  <si>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</si>
  <si>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</si>
  <si>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</si>
  <si>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</si>
  <si>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</si>
  <si>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</si>
  <si>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</si>
  <si>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</si>
  <si>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</si>
  <si>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</si>
  <si>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</si>
  <si>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</si>
  <si>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</si>
  <si>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</si>
  <si>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</si>
  <si>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</si>
  <si>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</si>
  <si>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</si>
  <si>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</si>
  <si>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</si>
  <si>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</si>
  <si>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</si>
  <si>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</si>
  <si>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</si>
  <si>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</si>
  <si>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</si>
  <si>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</si>
  <si>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</si>
  <si>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</si>
  <si>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</si>
  <si>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</si>
  <si>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</si>
  <si>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</si>
  <si>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</si>
  <si>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</si>
  <si>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</si>
  <si>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</si>
  <si>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</si>
  <si>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</si>
  <si>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</si>
  <si>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</si>
  <si>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</si>
  <si>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</si>
  <si>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</si>
  <si>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</si>
  <si>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</si>
  <si>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</si>
  <si>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</si>
  <si>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</si>
  <si>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</si>
  <si>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</si>
  <si>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</si>
  <si>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</si>
  <si>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</si>
  <si>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</si>
  <si>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</si>
  <si>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</si>
  <si>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</si>
  <si>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</si>
  <si>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</si>
  <si>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</si>
  <si>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</si>
  <si>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</si>
  <si>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</si>
  <si>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</si>
  <si>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</si>
  <si>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</si>
  <si>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</si>
  <si>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</si>
  <si>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</si>
  <si>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</si>
  <si>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</si>
  <si>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</si>
  <si>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</si>
  <si>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</si>
  <si>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</si>
  <si>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</si>
  <si>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</si>
  <si>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</si>
  <si>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</si>
  <si>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</si>
  <si>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</si>
  <si>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</si>
  <si>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</si>
  <si>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</si>
  <si>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</si>
  <si>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</si>
  <si>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</si>
  <si>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</si>
  <si>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</si>
  <si>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</si>
  <si>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</si>
  <si>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</si>
  <si>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</si>
  <si>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</si>
  <si>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</si>
  <si>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</si>
  <si>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</si>
  <si>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</si>
  <si>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</si>
  <si>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</si>
  <si>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</si>
  <si>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</si>
  <si>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</si>
  <si>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</si>
  <si>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</si>
  <si>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</si>
  <si>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</si>
  <si>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</si>
  <si>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</si>
  <si>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</si>
  <si>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</si>
  <si>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</si>
  <si>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</si>
  <si>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</si>
  <si>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</si>
  <si>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</si>
  <si>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</si>
  <si>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</si>
  <si>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</si>
  <si>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</si>
  <si>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</si>
  <si>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</si>
  <si>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</si>
  <si>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</si>
  <si>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</si>
  <si>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</si>
  <si>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</si>
  <si>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</si>
  <si>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</si>
  <si>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</si>
  <si>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</si>
  <si>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</si>
  <si>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</si>
  <si>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</si>
  <si>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</si>
  <si>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</si>
  <si>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</si>
  <si>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</si>
  <si>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</si>
  <si>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</si>
  <si>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</si>
  <si>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</si>
  <si>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</si>
  <si>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</si>
  <si>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</si>
  <si>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</si>
  <si>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</si>
  <si>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</si>
  <si>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</si>
  <si>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</si>
  <si>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</si>
  <si>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</si>
  <si>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</si>
  <si>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</si>
  <si>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</si>
  <si>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</si>
  <si>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</si>
  <si>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</si>
  <si>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</si>
  <si>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</si>
  <si>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</si>
  <si>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</si>
  <si>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</si>
  <si>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</si>
  <si>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</si>
  <si>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</si>
  <si>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</si>
  <si>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</si>
  <si>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</si>
  <si>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</si>
  <si>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</si>
  <si>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</si>
  <si>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</si>
  <si>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</si>
  <si>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</si>
  <si>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</si>
  <si>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</si>
  <si>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</si>
  <si>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</si>
  <si>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</si>
  <si>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</si>
  <si>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</si>
  <si>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</si>
  <si>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</si>
  <si>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</si>
  <si>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</si>
  <si>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</si>
  <si>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</si>
  <si>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</si>
  <si>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</si>
  <si>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</si>
  <si>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</si>
  <si>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Bill Category</t>
  </si>
  <si>
    <t>Age Category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</si>
  <si>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</si>
  <si>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</si>
  <si>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</si>
  <si>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</si>
  <si>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</si>
  <si>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>Urgent Follow Up</t>
  </si>
  <si>
    <t>Priority/Regular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</si>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</sst>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₹&quot;\ #,##0;[Red]&quot;₹&quot;\ \-#,##0"/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yyyy\-mm\-dd\ hh:mm:ss"/>
    <numFmt numFmtId="167" formatCode="_ &quot;₹&quot;\ * #,##0_ ;_ &quot;₹&quot;\ * \-#,##0_ ;_ &quot;₹&quot;\ * &quot;-&quot;??_ ;_ @_ "/>
    <numFmt numFmtId="170" formatCode="_ [$₹-4009]\ * #,##0_ ;_ [$₹-4009]\ * \-#,##0_ ;_ [$₹-4009]\ * &quot;-&quot;??_ ;_ @_ 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167" fontId="0" fillId="0" borderId="0" xfId="1" applyNumberFormat="1" applyFont="1"/>
    <xf numFmtId="170" fontId="0" fillId="0" borderId="0" xfId="1" applyNumberFormat="1" applyFont="1"/>
  </cellXfs>
  <cellStyles count="2">
    <cellStyle name="Currency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"/>
  <sheetViews>
    <sheetView tabSelected="1" topLeftCell="A45" zoomScale="81" zoomScaleNormal="96" workbookViewId="0">
      <selection activeCell="K51" sqref="K51"/>
    </sheetView>
  </sheetViews>
  <sheetFormatPr defaultRowHeight="14.5"/>
  <cols>
    <col min="1" max="1" width="10.08984375" customWidth="1"/>
    <col min="2" max="2" width="16.1796875" customWidth="1"/>
    <col min="5" max="5" width="19.81640625" customWidth="1"/>
    <col min="6" max="6" width="15.90625" customWidth="1"/>
    <col min="7" max="7" width="18.36328125" customWidth="1"/>
    <col min="8" max="8" width="23" customWidth="1"/>
    <col min="9" max="9" width="16.6328125" customWidth="1"/>
    <col min="10" max="10" width="19.54296875" customWidth="1"/>
    <col min="11" max="11" width="16.90625" customWidth="1"/>
    <col min="12" max="12" width="18.453125" customWidth="1"/>
    <col min="13" max="13" width="16.453125" customWidth="1"/>
    <col min="14" max="14" width="15.453125" customWidth="1"/>
    <col min="15" max="15" width="14.81640625" customWidth="1"/>
    <col min="16" max="16" width="15.90625" customWidth="1"/>
    <col min="17" max="17" width="21" customWidth="1"/>
    <col min="18" max="18" width="17.36328125" customWidth="1"/>
    <col min="19" max="19" width="17.6328125" customWidth="1"/>
    <col min="20" max="20" width="18.08984375" customWidth="1"/>
    <col min="22" max="22" width="22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227</v>
      </c>
      <c r="O1" s="14" t="s">
        <v>222</v>
      </c>
      <c r="P1" s="14" t="s">
        <v>223</v>
      </c>
      <c r="Q1" s="14" t="s">
        <v>228</v>
      </c>
      <c r="R1" s="14" t="s">
        <v>229</v>
      </c>
      <c r="S1" s="14" t="s">
        <v>230</v>
      </c>
      <c r="T1" s="14"/>
      <c r="U1" s="14" t="s">
        <v>209</v>
      </c>
      <c r="X1" s="10" t="s">
        <v>231</v>
      </c>
    </row>
    <row r="2" spans="1:24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IF(Patient_Data!L2="Pending","Follow Up","No Action")</f>
        <v>No Action</v>
      </c>
      <c r="O2" t="str">
        <f>IF(K2&gt;40000,"High Bill","Normal Bill")</f>
        <v>Normal Bill</v>
      </c>
      <c r="P2" t="str">
        <f>IF(C2&gt;=60,"Senior Citizen","Non Senior Citizen")</f>
        <v>Non Senior Citizen</v>
      </c>
      <c r="Q2" t="str">
        <f>IF(AND(K2&gt;40000,M2&gt;5),"HBC","NHBC")</f>
        <v>NHBC</v>
      </c>
      <c r="R2" t="str">
        <f>IF(AND(L2="Pending",K2&gt;30000),"UPF","NUPF")</f>
        <v>NUPF</v>
      </c>
      <c r="S2" t="str">
        <f>IF(OR(E2="Cardiology",E2="Neurology"),"Priority Department","Regular Department")</f>
        <v>Priority Department</v>
      </c>
      <c r="T2" t="str">
        <f>IF(NOT(L2="Pending"),"Payment Completed","Not Completed")</f>
        <v>Payment Completed</v>
      </c>
      <c r="U2" t="str">
        <f>_xlfn.SWITCH(TRUE,K2&gt;=50000,"Very High",K2&gt;=30000,"High",K2&gt;=15000,"Medium",K2&lt;15000,"Low")</f>
        <v>Medium</v>
      </c>
      <c r="V2" t="str">
        <f>IF(K2&gt;=50000,"VH",IF(K2&gt;=30000,"High",IF(K2&gt;=15000,"Medium","Low")))</f>
        <v>Medium</v>
      </c>
      <c r="W2" t="str">
        <f>IF(AND(K2&gt;=40000,L2="Pending"),"High Risk","Normal")</f>
        <v>Normal</v>
      </c>
      <c r="X2" t="str">
        <f>IF(AND(OR(E2="Cardiology",E2="Orthopedics"),K2&gt;30000),"MR","No Review")</f>
        <v>No Review</v>
      </c>
    </row>
    <row r="3" spans="1:24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>IF(Patient_Data!L3="Pending","Follow Up","No Action")</f>
        <v>No Action</v>
      </c>
      <c r="O3" t="str">
        <f t="shared" ref="O3:O41" si="0">IF(K3&gt;40000,"High Bill","Normal Bill")</f>
        <v>High Bill</v>
      </c>
      <c r="P3" t="str">
        <f t="shared" ref="P3:P41" si="1">IF(C3&gt;=60,"Senior Citizen","Non Senior Citizen")</f>
        <v>Non Senior Citizen</v>
      </c>
      <c r="Q3" t="str">
        <f t="shared" ref="Q3:Q41" si="2">IF(AND(K3&gt;40000,M3&gt;5),"HBC","NHBC")</f>
        <v>HBC</v>
      </c>
      <c r="R3" t="str">
        <f>IF(AND(Patient_Data!L3="Pending",Patient_Data!K3&gt;30000),"UPF","NUPF")</f>
        <v>NUPF</v>
      </c>
      <c r="S3" t="str">
        <f t="shared" ref="S3:S41" si="3">IF(OR(E3="Cardiology",E3="Neurology"),"Priority Department","Regular Department")</f>
        <v>Regular Department</v>
      </c>
      <c r="T3" t="str">
        <f t="shared" ref="T3:T41" si="4">IF(NOT(L3="Pending"),"Payment Completed","Not Completed")</f>
        <v>Payment Completed</v>
      </c>
      <c r="U3" t="str">
        <f t="shared" ref="U3:U41" si="5">_xlfn.SWITCH(TRUE,K3&gt;=50000,"Very High",K3&gt;=30000,"High",K3&gt;=15000,"Medium",K3&lt;15000,"Low")</f>
        <v>High</v>
      </c>
      <c r="V3" t="str">
        <f t="shared" ref="V3:V41" si="6">IF(K3&gt;=50000,"VH",IF(K3&gt;=30000,"High",IF(K3&gt;=15000,"Medium","Low")))</f>
        <v>High</v>
      </c>
      <c r="W3" t="str">
        <f t="shared" ref="W3:W41" si="7">IF(AND(K3&gt;=40000,L3="Pending"),"High Risk","Normal")</f>
        <v>Normal</v>
      </c>
      <c r="X3" t="str">
        <f t="shared" ref="X3:X41" si="8">IF(AND(OR(E3="Cardiology",E3="Orthopedics"),K3&gt;30000),"MR","No Review")</f>
        <v>MR</v>
      </c>
    </row>
    <row r="4" spans="1:24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>IF(Patient_Data!L4="Pending","Follow Up","No Action")</f>
        <v>No Action</v>
      </c>
      <c r="O4" t="str">
        <f t="shared" si="0"/>
        <v>Normal Bill</v>
      </c>
      <c r="P4" t="str">
        <f t="shared" si="1"/>
        <v>Non Senior Citizen</v>
      </c>
      <c r="Q4" t="str">
        <f t="shared" si="2"/>
        <v>NHBC</v>
      </c>
      <c r="R4" t="str">
        <f>IF(AND(Patient_Data!L4="Pending",Patient_Data!K4&gt;30000),"UPF","NUPF")</f>
        <v>NUPF</v>
      </c>
      <c r="S4" t="str">
        <f t="shared" si="3"/>
        <v>Regular Department</v>
      </c>
      <c r="T4" t="str">
        <f t="shared" si="4"/>
        <v>Payment Completed</v>
      </c>
      <c r="U4" t="str">
        <f t="shared" si="5"/>
        <v>Low</v>
      </c>
      <c r="V4" t="str">
        <f t="shared" si="6"/>
        <v>Low</v>
      </c>
      <c r="W4" t="str">
        <f t="shared" si="7"/>
        <v>Normal</v>
      </c>
      <c r="X4" t="str">
        <f t="shared" si="8"/>
        <v>No Review</v>
      </c>
    </row>
    <row r="5" spans="1:24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>IF(Patient_Data!L5="Pending","Follow Up","No Action")</f>
        <v>Follow Up</v>
      </c>
      <c r="O5" t="str">
        <f t="shared" si="0"/>
        <v>Normal Bill</v>
      </c>
      <c r="P5" t="str">
        <f t="shared" si="1"/>
        <v>Non Senior Citizen</v>
      </c>
      <c r="Q5" t="str">
        <f t="shared" si="2"/>
        <v>NHBC</v>
      </c>
      <c r="R5" t="str">
        <f>IF(AND(Patient_Data!L5="Pending",Patient_Data!K5&gt;30000),"UPF","NUPF")</f>
        <v>NUPF</v>
      </c>
      <c r="S5" t="str">
        <f t="shared" si="3"/>
        <v>Priority Department</v>
      </c>
      <c r="T5" t="str">
        <f t="shared" si="4"/>
        <v>Not Completed</v>
      </c>
      <c r="U5" t="str">
        <f t="shared" si="5"/>
        <v>Medium</v>
      </c>
      <c r="V5" t="str">
        <f t="shared" si="6"/>
        <v>Medium</v>
      </c>
      <c r="W5" t="str">
        <f t="shared" si="7"/>
        <v>Normal</v>
      </c>
      <c r="X5" t="str">
        <f t="shared" si="8"/>
        <v>No Review</v>
      </c>
    </row>
    <row r="6" spans="1:24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>IF(Patient_Data!L6="Pending","Follow Up","No Action")</f>
        <v>No Action</v>
      </c>
      <c r="O6" t="str">
        <f t="shared" si="0"/>
        <v>Normal Bill</v>
      </c>
      <c r="P6" t="str">
        <f t="shared" si="1"/>
        <v>Senior Citizen</v>
      </c>
      <c r="Q6" t="str">
        <f t="shared" si="2"/>
        <v>NHBC</v>
      </c>
      <c r="R6" t="str">
        <f>IF(AND(Patient_Data!L6="Pending",Patient_Data!K6&gt;30000),"UPF","NUPF")</f>
        <v>NUPF</v>
      </c>
      <c r="S6" t="str">
        <f t="shared" si="3"/>
        <v>Priority Department</v>
      </c>
      <c r="T6" t="str">
        <f t="shared" si="4"/>
        <v>Payment Completed</v>
      </c>
      <c r="U6" t="str">
        <f t="shared" si="5"/>
        <v>Medium</v>
      </c>
      <c r="V6" t="str">
        <f t="shared" si="6"/>
        <v>Medium</v>
      </c>
      <c r="W6" t="str">
        <f t="shared" si="7"/>
        <v>Normal</v>
      </c>
      <c r="X6" t="str">
        <f t="shared" si="8"/>
        <v>No Review</v>
      </c>
    </row>
    <row r="7" spans="1:24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>IF(Patient_Data!L7="Pending","Follow Up","No Action")</f>
        <v>No Action</v>
      </c>
      <c r="O7" t="str">
        <f t="shared" si="0"/>
        <v>Normal Bill</v>
      </c>
      <c r="P7" t="str">
        <f t="shared" si="1"/>
        <v>Non Senior Citizen</v>
      </c>
      <c r="Q7" t="str">
        <f t="shared" si="2"/>
        <v>NHBC</v>
      </c>
      <c r="R7" t="str">
        <f>IF(AND(Patient_Data!L7="Pending",Patient_Data!K7&gt;30000),"UPF","NUPF")</f>
        <v>NUPF</v>
      </c>
      <c r="S7" t="str">
        <f t="shared" si="3"/>
        <v>Regular Department</v>
      </c>
      <c r="T7" t="str">
        <f t="shared" si="4"/>
        <v>Payment Completed</v>
      </c>
      <c r="U7" t="str">
        <f t="shared" si="5"/>
        <v>Low</v>
      </c>
      <c r="V7" t="str">
        <f t="shared" si="6"/>
        <v>Low</v>
      </c>
      <c r="W7" t="str">
        <f t="shared" si="7"/>
        <v>Normal</v>
      </c>
      <c r="X7" t="str">
        <f t="shared" si="8"/>
        <v>No Review</v>
      </c>
    </row>
    <row r="8" spans="1:24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>IF(Patient_Data!L8="Pending","Follow Up","No Action")</f>
        <v>Follow Up</v>
      </c>
      <c r="O8" t="str">
        <f t="shared" si="0"/>
        <v>High Bill</v>
      </c>
      <c r="P8" t="str">
        <f t="shared" si="1"/>
        <v>Senior Citizen</v>
      </c>
      <c r="Q8" t="str">
        <f t="shared" si="2"/>
        <v>HBC</v>
      </c>
      <c r="R8" t="str">
        <f>IF(AND(Patient_Data!L8="Pending",Patient_Data!K8&gt;30000),"UPF","NUPF")</f>
        <v>UPF</v>
      </c>
      <c r="S8" t="str">
        <f t="shared" si="3"/>
        <v>Priority Department</v>
      </c>
      <c r="T8" t="str">
        <f t="shared" si="4"/>
        <v>Not Completed</v>
      </c>
      <c r="U8" t="str">
        <f t="shared" si="5"/>
        <v>Very High</v>
      </c>
      <c r="V8" t="str">
        <f t="shared" si="6"/>
        <v>VH</v>
      </c>
      <c r="W8" t="str">
        <f t="shared" si="7"/>
        <v>High Risk</v>
      </c>
      <c r="X8" t="str">
        <f t="shared" si="8"/>
        <v>MR</v>
      </c>
    </row>
    <row r="9" spans="1:24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>IF(Patient_Data!L9="Pending","Follow Up","No Action")</f>
        <v>No Action</v>
      </c>
      <c r="O9" t="str">
        <f t="shared" si="0"/>
        <v>Normal Bill</v>
      </c>
      <c r="P9" t="str">
        <f t="shared" si="1"/>
        <v>Non Senior Citizen</v>
      </c>
      <c r="Q9" t="str">
        <f t="shared" si="2"/>
        <v>NHBC</v>
      </c>
      <c r="R9" t="str">
        <f>IF(AND(Patient_Data!L9="Pending",Patient_Data!K9&gt;30000),"UPF","NUPF")</f>
        <v>NUPF</v>
      </c>
      <c r="S9" t="str">
        <f t="shared" si="3"/>
        <v>Regular Department</v>
      </c>
      <c r="T9" t="str">
        <f t="shared" si="4"/>
        <v>Payment Completed</v>
      </c>
      <c r="U9" t="str">
        <f t="shared" si="5"/>
        <v>Low</v>
      </c>
      <c r="V9" t="str">
        <f t="shared" si="6"/>
        <v>Low</v>
      </c>
      <c r="W9" t="str">
        <f t="shared" si="7"/>
        <v>Normal</v>
      </c>
      <c r="X9" t="str">
        <f t="shared" si="8"/>
        <v>No Review</v>
      </c>
    </row>
    <row r="10" spans="1:24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>IF(Patient_Data!L10="Pending","Follow Up","No Action")</f>
        <v>No Action</v>
      </c>
      <c r="O10" t="str">
        <f t="shared" si="0"/>
        <v>Normal Bill</v>
      </c>
      <c r="P10" t="str">
        <f t="shared" si="1"/>
        <v>Non Senior Citizen</v>
      </c>
      <c r="Q10" t="str">
        <f t="shared" si="2"/>
        <v>NHBC</v>
      </c>
      <c r="R10" t="str">
        <f>IF(AND(Patient_Data!L10="Pending",Patient_Data!K10&gt;30000),"UPF","NUPF")</f>
        <v>NUPF</v>
      </c>
      <c r="S10" t="str">
        <f t="shared" si="3"/>
        <v>Regular Department</v>
      </c>
      <c r="T10" t="str">
        <f t="shared" si="4"/>
        <v>Payment Completed</v>
      </c>
      <c r="U10" t="str">
        <f t="shared" si="5"/>
        <v>Medium</v>
      </c>
      <c r="V10" t="str">
        <f t="shared" si="6"/>
        <v>Medium</v>
      </c>
      <c r="W10" t="str">
        <f t="shared" si="7"/>
        <v>Normal</v>
      </c>
      <c r="X10" t="str">
        <f t="shared" si="8"/>
        <v>No Review</v>
      </c>
    </row>
    <row r="11" spans="1:24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>IF(Patient_Data!L11="Pending","Follow Up","No Action")</f>
        <v>No Action</v>
      </c>
      <c r="O11" t="str">
        <f t="shared" si="0"/>
        <v>Normal Bill</v>
      </c>
      <c r="P11" t="str">
        <f t="shared" si="1"/>
        <v>Non Senior Citizen</v>
      </c>
      <c r="Q11" t="str">
        <f t="shared" si="2"/>
        <v>NHBC</v>
      </c>
      <c r="R11" t="str">
        <f>IF(AND(Patient_Data!L11="Pending",Patient_Data!K11&gt;30000),"UPF","NUPF")</f>
        <v>NUPF</v>
      </c>
      <c r="S11" t="str">
        <f t="shared" si="3"/>
        <v>Regular Department</v>
      </c>
      <c r="T11" t="str">
        <f t="shared" si="4"/>
        <v>Payment Completed</v>
      </c>
      <c r="U11" t="str">
        <f t="shared" si="5"/>
        <v>Low</v>
      </c>
      <c r="V11" t="str">
        <f t="shared" si="6"/>
        <v>Low</v>
      </c>
      <c r="W11" t="str">
        <f t="shared" si="7"/>
        <v>Normal</v>
      </c>
      <c r="X11" t="str">
        <f t="shared" si="8"/>
        <v>No Review</v>
      </c>
    </row>
    <row r="12" spans="1:24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>IF(Patient_Data!L12="Pending","Follow Up","No Action")</f>
        <v>No Action</v>
      </c>
      <c r="O12" t="str">
        <f t="shared" si="0"/>
        <v>Normal Bill</v>
      </c>
      <c r="P12" t="str">
        <f t="shared" si="1"/>
        <v>Senior Citizen</v>
      </c>
      <c r="Q12" t="str">
        <f t="shared" si="2"/>
        <v>NHBC</v>
      </c>
      <c r="R12" t="str">
        <f>IF(AND(Patient_Data!L12="Pending",Patient_Data!K12&gt;30000),"UPF","NUPF")</f>
        <v>NUPF</v>
      </c>
      <c r="S12" t="str">
        <f t="shared" si="3"/>
        <v>Priority Department</v>
      </c>
      <c r="T12" t="str">
        <f t="shared" si="4"/>
        <v>Payment Completed</v>
      </c>
      <c r="U12" t="str">
        <f t="shared" si="5"/>
        <v>Medium</v>
      </c>
      <c r="V12" t="str">
        <f t="shared" si="6"/>
        <v>Medium</v>
      </c>
      <c r="W12" t="str">
        <f t="shared" si="7"/>
        <v>Normal</v>
      </c>
      <c r="X12" t="str">
        <f t="shared" si="8"/>
        <v>No Review</v>
      </c>
    </row>
    <row r="13" spans="1:24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>IF(Patient_Data!L13="Pending","Follow Up","No Action")</f>
        <v>Follow Up</v>
      </c>
      <c r="O13" t="str">
        <f t="shared" si="0"/>
        <v>Normal Bill</v>
      </c>
      <c r="P13" t="str">
        <f t="shared" si="1"/>
        <v>Non Senior Citizen</v>
      </c>
      <c r="Q13" t="str">
        <f t="shared" si="2"/>
        <v>NHBC</v>
      </c>
      <c r="R13" t="str">
        <f>IF(AND(Patient_Data!L13="Pending",Patient_Data!K13&gt;30000),"UPF","NUPF")</f>
        <v>UPF</v>
      </c>
      <c r="S13" t="str">
        <f t="shared" si="3"/>
        <v>Priority Department</v>
      </c>
      <c r="T13" t="str">
        <f t="shared" si="4"/>
        <v>Not Completed</v>
      </c>
      <c r="U13" t="str">
        <f t="shared" si="5"/>
        <v>High</v>
      </c>
      <c r="V13" t="str">
        <f t="shared" si="6"/>
        <v>High</v>
      </c>
      <c r="W13" t="str">
        <f t="shared" si="7"/>
        <v>Normal</v>
      </c>
      <c r="X13" t="str">
        <f t="shared" si="8"/>
        <v>No Review</v>
      </c>
    </row>
    <row r="14" spans="1:24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>IF(Patient_Data!L14="Pending","Follow Up","No Action")</f>
        <v>No Action</v>
      </c>
      <c r="O14" t="str">
        <f t="shared" si="0"/>
        <v>Normal Bill</v>
      </c>
      <c r="P14" t="str">
        <f t="shared" si="1"/>
        <v>Non Senior Citizen</v>
      </c>
      <c r="Q14" t="str">
        <f t="shared" si="2"/>
        <v>NHBC</v>
      </c>
      <c r="R14" t="str">
        <f>IF(AND(Patient_Data!L14="Pending",Patient_Data!K14&gt;30000),"UPF","NUPF")</f>
        <v>NUPF</v>
      </c>
      <c r="S14" t="str">
        <f t="shared" si="3"/>
        <v>Regular Department</v>
      </c>
      <c r="T14" t="str">
        <f t="shared" si="4"/>
        <v>Payment Completed</v>
      </c>
      <c r="U14" t="str">
        <f t="shared" si="5"/>
        <v>Low</v>
      </c>
      <c r="V14" t="str">
        <f t="shared" si="6"/>
        <v>Low</v>
      </c>
      <c r="W14" t="str">
        <f t="shared" si="7"/>
        <v>Normal</v>
      </c>
      <c r="X14" t="str">
        <f t="shared" si="8"/>
        <v>No Review</v>
      </c>
    </row>
    <row r="15" spans="1:24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>IF(Patient_Data!L15="Pending","Follow Up","No Action")</f>
        <v>No Action</v>
      </c>
      <c r="O15" t="str">
        <f t="shared" si="0"/>
        <v>Normal Bill</v>
      </c>
      <c r="P15" t="str">
        <f t="shared" si="1"/>
        <v>Non Senior Citizen</v>
      </c>
      <c r="Q15" t="str">
        <f t="shared" si="2"/>
        <v>NHBC</v>
      </c>
      <c r="R15" t="str">
        <f>IF(AND(Patient_Data!L15="Pending",Patient_Data!K15&gt;30000),"UPF","NUPF")</f>
        <v>NUPF</v>
      </c>
      <c r="S15" t="str">
        <f t="shared" si="3"/>
        <v>Regular Department</v>
      </c>
      <c r="T15" t="str">
        <f t="shared" si="4"/>
        <v>Payment Completed</v>
      </c>
      <c r="U15" t="str">
        <f t="shared" si="5"/>
        <v>Medium</v>
      </c>
      <c r="V15" t="str">
        <f t="shared" si="6"/>
        <v>Medium</v>
      </c>
      <c r="W15" t="str">
        <f t="shared" si="7"/>
        <v>Normal</v>
      </c>
      <c r="X15" t="str">
        <f t="shared" si="8"/>
        <v>No Review</v>
      </c>
    </row>
    <row r="16" spans="1:24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>IF(Patient_Data!L16="Pending","Follow Up","No Action")</f>
        <v>Follow Up</v>
      </c>
      <c r="O16" t="str">
        <f t="shared" si="0"/>
        <v>High Bill</v>
      </c>
      <c r="P16" t="str">
        <f t="shared" si="1"/>
        <v>Senior Citizen</v>
      </c>
      <c r="Q16" t="str">
        <f t="shared" si="2"/>
        <v>HBC</v>
      </c>
      <c r="R16" t="str">
        <f>IF(AND(Patient_Data!L16="Pending",Patient_Data!K16&gt;30000),"UPF","NUPF")</f>
        <v>UPF</v>
      </c>
      <c r="S16" t="str">
        <f t="shared" si="3"/>
        <v>Priority Department</v>
      </c>
      <c r="T16" t="str">
        <f t="shared" si="4"/>
        <v>Not Completed</v>
      </c>
      <c r="U16" t="str">
        <f t="shared" si="5"/>
        <v>Very High</v>
      </c>
      <c r="V16" t="str">
        <f t="shared" si="6"/>
        <v>VH</v>
      </c>
      <c r="W16" t="str">
        <f t="shared" si="7"/>
        <v>High Risk</v>
      </c>
      <c r="X16" t="str">
        <f t="shared" si="8"/>
        <v>MR</v>
      </c>
    </row>
    <row r="17" spans="1:24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>IF(Patient_Data!L17="Pending","Follow Up","No Action")</f>
        <v>No Action</v>
      </c>
      <c r="O17" t="str">
        <f t="shared" si="0"/>
        <v>Normal Bill</v>
      </c>
      <c r="P17" t="str">
        <f t="shared" si="1"/>
        <v>Non Senior Citizen</v>
      </c>
      <c r="Q17" t="str">
        <f t="shared" si="2"/>
        <v>NHBC</v>
      </c>
      <c r="R17" t="str">
        <f>IF(AND(Patient_Data!L17="Pending",Patient_Data!K17&gt;30000),"UPF","NUPF")</f>
        <v>NUPF</v>
      </c>
      <c r="S17" t="str">
        <f t="shared" si="3"/>
        <v>Regular Department</v>
      </c>
      <c r="T17" t="str">
        <f t="shared" si="4"/>
        <v>Payment Completed</v>
      </c>
      <c r="U17" t="str">
        <f t="shared" si="5"/>
        <v>Low</v>
      </c>
      <c r="V17" t="str">
        <f t="shared" si="6"/>
        <v>Low</v>
      </c>
      <c r="W17" t="str">
        <f t="shared" si="7"/>
        <v>Normal</v>
      </c>
      <c r="X17" t="str">
        <f t="shared" si="8"/>
        <v>No Review</v>
      </c>
    </row>
    <row r="18" spans="1:24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>IF(Patient_Data!L18="Pending","Follow Up","No Action")</f>
        <v>No Action</v>
      </c>
      <c r="O18" t="str">
        <f t="shared" si="0"/>
        <v>Normal Bill</v>
      </c>
      <c r="P18" t="str">
        <f t="shared" si="1"/>
        <v>Non Senior Citizen</v>
      </c>
      <c r="Q18" t="str">
        <f t="shared" si="2"/>
        <v>NHBC</v>
      </c>
      <c r="R18" t="str">
        <f>IF(AND(Patient_Data!L18="Pending",Patient_Data!K18&gt;30000),"UPF","NUPF")</f>
        <v>NUPF</v>
      </c>
      <c r="S18" t="str">
        <f t="shared" si="3"/>
        <v>Priority Department</v>
      </c>
      <c r="T18" t="str">
        <f t="shared" si="4"/>
        <v>Payment Completed</v>
      </c>
      <c r="U18" t="str">
        <f t="shared" si="5"/>
        <v>Medium</v>
      </c>
      <c r="V18" t="str">
        <f t="shared" si="6"/>
        <v>Medium</v>
      </c>
      <c r="W18" t="str">
        <f t="shared" si="7"/>
        <v>Normal</v>
      </c>
      <c r="X18" t="str">
        <f t="shared" si="8"/>
        <v>No Review</v>
      </c>
    </row>
    <row r="19" spans="1:24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>IF(Patient_Data!L19="Pending","Follow Up","No Action")</f>
        <v>No Action</v>
      </c>
      <c r="O19" t="str">
        <f t="shared" si="0"/>
        <v>High Bill</v>
      </c>
      <c r="P19" t="str">
        <f t="shared" si="1"/>
        <v>Non Senior Citizen</v>
      </c>
      <c r="Q19" t="str">
        <f t="shared" si="2"/>
        <v>HBC</v>
      </c>
      <c r="R19" t="str">
        <f>IF(AND(Patient_Data!L19="Pending",Patient_Data!K19&gt;30000),"UPF","NUPF")</f>
        <v>NUPF</v>
      </c>
      <c r="S19" t="str">
        <f t="shared" si="3"/>
        <v>Regular Department</v>
      </c>
      <c r="T19" t="str">
        <f t="shared" si="4"/>
        <v>Payment Completed</v>
      </c>
      <c r="U19" t="str">
        <f t="shared" si="5"/>
        <v>High</v>
      </c>
      <c r="V19" t="str">
        <f t="shared" si="6"/>
        <v>High</v>
      </c>
      <c r="W19" t="str">
        <f t="shared" si="7"/>
        <v>Normal</v>
      </c>
      <c r="X19" t="str">
        <f t="shared" si="8"/>
        <v>MR</v>
      </c>
    </row>
    <row r="20" spans="1:24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>IF(Patient_Data!L20="Pending","Follow Up","No Action")</f>
        <v>Follow Up</v>
      </c>
      <c r="O20" t="str">
        <f t="shared" si="0"/>
        <v>Normal Bill</v>
      </c>
      <c r="P20" t="str">
        <f t="shared" si="1"/>
        <v>Non Senior Citizen</v>
      </c>
      <c r="Q20" t="str">
        <f t="shared" si="2"/>
        <v>NHBC</v>
      </c>
      <c r="R20" t="str">
        <f>IF(AND(Patient_Data!L20="Pending",Patient_Data!K20&gt;30000),"UPF","NUPF")</f>
        <v>NUPF</v>
      </c>
      <c r="S20" t="str">
        <f t="shared" si="3"/>
        <v>Regular Department</v>
      </c>
      <c r="T20" t="str">
        <f t="shared" si="4"/>
        <v>Not Completed</v>
      </c>
      <c r="U20" t="str">
        <f t="shared" si="5"/>
        <v>Low</v>
      </c>
      <c r="V20" t="str">
        <f t="shared" si="6"/>
        <v>Low</v>
      </c>
      <c r="W20" t="str">
        <f t="shared" si="7"/>
        <v>Normal</v>
      </c>
      <c r="X20" t="str">
        <f t="shared" si="8"/>
        <v>No Review</v>
      </c>
    </row>
    <row r="21" spans="1:24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>IF(Patient_Data!L21="Pending","Follow Up","No Action")</f>
        <v>No Action</v>
      </c>
      <c r="O21" t="str">
        <f t="shared" si="0"/>
        <v>Normal Bill</v>
      </c>
      <c r="P21" t="str">
        <f t="shared" si="1"/>
        <v>Non Senior Citizen</v>
      </c>
      <c r="Q21" t="str">
        <f t="shared" si="2"/>
        <v>NHBC</v>
      </c>
      <c r="R21" t="str">
        <f>IF(AND(Patient_Data!L21="Pending",Patient_Data!K21&gt;30000),"UPF","NUPF")</f>
        <v>NUPF</v>
      </c>
      <c r="S21" t="str">
        <f t="shared" si="3"/>
        <v>Priority Department</v>
      </c>
      <c r="T21" t="str">
        <f t="shared" si="4"/>
        <v>Payment Completed</v>
      </c>
      <c r="U21" t="str">
        <f t="shared" si="5"/>
        <v>High</v>
      </c>
      <c r="V21" t="str">
        <f t="shared" si="6"/>
        <v>High</v>
      </c>
      <c r="W21" t="str">
        <f t="shared" si="7"/>
        <v>Normal</v>
      </c>
      <c r="X21" t="str">
        <f t="shared" si="8"/>
        <v>MR</v>
      </c>
    </row>
    <row r="22" spans="1:24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>IF(Patient_Data!L22="Pending","Follow Up","No Action")</f>
        <v>No Action</v>
      </c>
      <c r="O22" t="str">
        <f t="shared" si="0"/>
        <v>Normal Bill</v>
      </c>
      <c r="P22" t="str">
        <f t="shared" si="1"/>
        <v>Non Senior Citizen</v>
      </c>
      <c r="Q22" t="str">
        <f t="shared" si="2"/>
        <v>NHBC</v>
      </c>
      <c r="R22" t="str">
        <f>IF(AND(Patient_Data!L22="Pending",Patient_Data!K22&gt;30000),"UPF","NUPF")</f>
        <v>NUPF</v>
      </c>
      <c r="S22" t="str">
        <f t="shared" si="3"/>
        <v>Regular Department</v>
      </c>
      <c r="T22" t="str">
        <f t="shared" si="4"/>
        <v>Payment Completed</v>
      </c>
      <c r="U22" t="str">
        <f t="shared" si="5"/>
        <v>Low</v>
      </c>
      <c r="V22" t="str">
        <f t="shared" si="6"/>
        <v>Low</v>
      </c>
      <c r="W22" t="str">
        <f t="shared" si="7"/>
        <v>Normal</v>
      </c>
      <c r="X22" t="str">
        <f t="shared" si="8"/>
        <v>No Review</v>
      </c>
    </row>
    <row r="23" spans="1:24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>IF(Patient_Data!L23="Pending","Follow Up","No Action")</f>
        <v>No Action</v>
      </c>
      <c r="O23" t="str">
        <f t="shared" si="0"/>
        <v>High Bill</v>
      </c>
      <c r="P23" t="str">
        <f t="shared" si="1"/>
        <v>Senior Citizen</v>
      </c>
      <c r="Q23" t="str">
        <f t="shared" si="2"/>
        <v>HBC</v>
      </c>
      <c r="R23" t="str">
        <f>IF(AND(Patient_Data!L23="Pending",Patient_Data!K23&gt;30000),"UPF","NUPF")</f>
        <v>NUPF</v>
      </c>
      <c r="S23" t="str">
        <f t="shared" si="3"/>
        <v>Priority Department</v>
      </c>
      <c r="T23" t="str">
        <f t="shared" si="4"/>
        <v>Payment Completed</v>
      </c>
      <c r="U23" t="str">
        <f t="shared" si="5"/>
        <v>High</v>
      </c>
      <c r="V23" t="str">
        <f t="shared" si="6"/>
        <v>High</v>
      </c>
      <c r="W23" t="str">
        <f t="shared" si="7"/>
        <v>Normal</v>
      </c>
      <c r="X23" t="str">
        <f t="shared" si="8"/>
        <v>No Review</v>
      </c>
    </row>
    <row r="24" spans="1:24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>IF(Patient_Data!L24="Pending","Follow Up","No Action")</f>
        <v>No Action</v>
      </c>
      <c r="O24" t="str">
        <f t="shared" si="0"/>
        <v>Normal Bill</v>
      </c>
      <c r="P24" t="str">
        <f t="shared" si="1"/>
        <v>Non Senior Citizen</v>
      </c>
      <c r="Q24" t="str">
        <f t="shared" si="2"/>
        <v>NHBC</v>
      </c>
      <c r="R24" t="str">
        <f>IF(AND(Patient_Data!L24="Pending",Patient_Data!K24&gt;30000),"UPF","NUPF")</f>
        <v>NUPF</v>
      </c>
      <c r="S24" t="str">
        <f t="shared" si="3"/>
        <v>Regular Department</v>
      </c>
      <c r="T24" t="str">
        <f t="shared" si="4"/>
        <v>Payment Completed</v>
      </c>
      <c r="U24" t="str">
        <f t="shared" si="5"/>
        <v>Low</v>
      </c>
      <c r="V24" t="str">
        <f t="shared" si="6"/>
        <v>Low</v>
      </c>
      <c r="W24" t="str">
        <f t="shared" si="7"/>
        <v>Normal</v>
      </c>
      <c r="X24" t="str">
        <f t="shared" si="8"/>
        <v>No Review</v>
      </c>
    </row>
    <row r="25" spans="1:24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>IF(Patient_Data!L25="Pending","Follow Up","No Action")</f>
        <v>Follow Up</v>
      </c>
      <c r="O25" t="str">
        <f t="shared" si="0"/>
        <v>Normal Bill</v>
      </c>
      <c r="P25" t="str">
        <f t="shared" si="1"/>
        <v>Non Senior Citizen</v>
      </c>
      <c r="Q25" t="str">
        <f t="shared" si="2"/>
        <v>NHBC</v>
      </c>
      <c r="R25" t="str">
        <f>IF(AND(Patient_Data!L25="Pending",Patient_Data!K25&gt;30000),"UPF","NUPF")</f>
        <v>NUPF</v>
      </c>
      <c r="S25" t="str">
        <f t="shared" si="3"/>
        <v>Regular Department</v>
      </c>
      <c r="T25" t="str">
        <f t="shared" si="4"/>
        <v>Not Completed</v>
      </c>
      <c r="U25" t="str">
        <f t="shared" si="5"/>
        <v>Medium</v>
      </c>
      <c r="V25" t="str">
        <f t="shared" si="6"/>
        <v>Medium</v>
      </c>
      <c r="W25" t="str">
        <f t="shared" si="7"/>
        <v>Normal</v>
      </c>
      <c r="X25" t="str">
        <f t="shared" si="8"/>
        <v>No Review</v>
      </c>
    </row>
    <row r="26" spans="1:24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>IF(Patient_Data!L26="Pending","Follow Up","No Action")</f>
        <v>No Action</v>
      </c>
      <c r="O26" t="str">
        <f t="shared" si="0"/>
        <v>High Bill</v>
      </c>
      <c r="P26" t="str">
        <f t="shared" si="1"/>
        <v>Senior Citizen</v>
      </c>
      <c r="Q26" t="str">
        <f t="shared" si="2"/>
        <v>HBC</v>
      </c>
      <c r="R26" t="str">
        <f>IF(AND(Patient_Data!L26="Pending",Patient_Data!K26&gt;30000),"UPF","NUPF")</f>
        <v>NUPF</v>
      </c>
      <c r="S26" t="str">
        <f t="shared" si="3"/>
        <v>Priority Department</v>
      </c>
      <c r="T26" t="str">
        <f t="shared" si="4"/>
        <v>Payment Completed</v>
      </c>
      <c r="U26" t="str">
        <f t="shared" si="5"/>
        <v>Very High</v>
      </c>
      <c r="V26" t="str">
        <f t="shared" si="6"/>
        <v>VH</v>
      </c>
      <c r="W26" t="str">
        <f t="shared" si="7"/>
        <v>Normal</v>
      </c>
      <c r="X26" t="str">
        <f t="shared" si="8"/>
        <v>MR</v>
      </c>
    </row>
    <row r="27" spans="1:24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>IF(Patient_Data!L27="Pending","Follow Up","No Action")</f>
        <v>No Action</v>
      </c>
      <c r="O27" t="str">
        <f t="shared" si="0"/>
        <v>Normal Bill</v>
      </c>
      <c r="P27" t="str">
        <f t="shared" si="1"/>
        <v>Non Senior Citizen</v>
      </c>
      <c r="Q27" t="str">
        <f t="shared" si="2"/>
        <v>NHBC</v>
      </c>
      <c r="R27" t="str">
        <f>IF(AND(Patient_Data!L27="Pending",Patient_Data!K27&gt;30000),"UPF","NUPF")</f>
        <v>NUPF</v>
      </c>
      <c r="S27" t="str">
        <f t="shared" si="3"/>
        <v>Regular Department</v>
      </c>
      <c r="T27" t="str">
        <f t="shared" si="4"/>
        <v>Payment Completed</v>
      </c>
      <c r="U27" t="str">
        <f t="shared" si="5"/>
        <v>Low</v>
      </c>
      <c r="V27" t="str">
        <f t="shared" si="6"/>
        <v>Low</v>
      </c>
      <c r="W27" t="str">
        <f t="shared" si="7"/>
        <v>Normal</v>
      </c>
      <c r="X27" t="str">
        <f t="shared" si="8"/>
        <v>No Review</v>
      </c>
    </row>
    <row r="28" spans="1:24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>IF(Patient_Data!L28="Pending","Follow Up","No Action")</f>
        <v>Follow Up</v>
      </c>
      <c r="O28" t="str">
        <f t="shared" si="0"/>
        <v>Normal Bill</v>
      </c>
      <c r="P28" t="str">
        <f t="shared" si="1"/>
        <v>Non Senior Citizen</v>
      </c>
      <c r="Q28" t="str">
        <f t="shared" si="2"/>
        <v>NHBC</v>
      </c>
      <c r="R28" t="str">
        <f>IF(AND(Patient_Data!L28="Pending",Patient_Data!K28&gt;30000),"UPF","NUPF")</f>
        <v>NUPF</v>
      </c>
      <c r="S28" t="str">
        <f t="shared" si="3"/>
        <v>Regular Department</v>
      </c>
      <c r="T28" t="str">
        <f t="shared" si="4"/>
        <v>Not Completed</v>
      </c>
      <c r="U28" t="str">
        <f t="shared" si="5"/>
        <v>Medium</v>
      </c>
      <c r="V28" t="str">
        <f t="shared" si="6"/>
        <v>Medium</v>
      </c>
      <c r="W28" t="str">
        <f t="shared" si="7"/>
        <v>Normal</v>
      </c>
      <c r="X28" t="str">
        <f t="shared" si="8"/>
        <v>No Review</v>
      </c>
    </row>
    <row r="29" spans="1:24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>IF(Patient_Data!L29="Pending","Follow Up","No Action")</f>
        <v>No Action</v>
      </c>
      <c r="O29" t="str">
        <f t="shared" si="0"/>
        <v>Normal Bill</v>
      </c>
      <c r="P29" t="str">
        <f t="shared" si="1"/>
        <v>Non Senior Citizen</v>
      </c>
      <c r="Q29" t="str">
        <f t="shared" si="2"/>
        <v>NHBC</v>
      </c>
      <c r="R29" t="str">
        <f>IF(AND(Patient_Data!L29="Pending",Patient_Data!K29&gt;30000),"UPF","NUPF")</f>
        <v>NUPF</v>
      </c>
      <c r="S29" t="str">
        <f t="shared" si="3"/>
        <v>Priority Department</v>
      </c>
      <c r="T29" t="str">
        <f t="shared" si="4"/>
        <v>Payment Completed</v>
      </c>
      <c r="U29" t="str">
        <f t="shared" si="5"/>
        <v>Low</v>
      </c>
      <c r="V29" t="str">
        <f t="shared" si="6"/>
        <v>Low</v>
      </c>
      <c r="W29" t="str">
        <f t="shared" si="7"/>
        <v>Normal</v>
      </c>
      <c r="X29" t="str">
        <f t="shared" si="8"/>
        <v>No Review</v>
      </c>
    </row>
    <row r="30" spans="1:24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>IF(Patient_Data!L30="Pending","Follow Up","No Action")</f>
        <v>No Action</v>
      </c>
      <c r="O30" t="str">
        <f t="shared" si="0"/>
        <v>Normal Bill</v>
      </c>
      <c r="P30" t="str">
        <f t="shared" si="1"/>
        <v>Non Senior Citizen</v>
      </c>
      <c r="Q30" t="str">
        <f t="shared" si="2"/>
        <v>NHBC</v>
      </c>
      <c r="R30" t="str">
        <f>IF(AND(Patient_Data!L30="Pending",Patient_Data!K30&gt;30000),"UPF","NUPF")</f>
        <v>NUPF</v>
      </c>
      <c r="S30" t="str">
        <f t="shared" si="3"/>
        <v>Regular Department</v>
      </c>
      <c r="T30" t="str">
        <f t="shared" si="4"/>
        <v>Payment Completed</v>
      </c>
      <c r="U30" t="str">
        <f t="shared" si="5"/>
        <v>Low</v>
      </c>
      <c r="V30" t="str">
        <f t="shared" si="6"/>
        <v>Low</v>
      </c>
      <c r="W30" t="str">
        <f t="shared" si="7"/>
        <v>Normal</v>
      </c>
      <c r="X30" t="str">
        <f t="shared" si="8"/>
        <v>No Review</v>
      </c>
    </row>
    <row r="31" spans="1:24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>IF(Patient_Data!L31="Pending","Follow Up","No Action")</f>
        <v>No Action</v>
      </c>
      <c r="O31" t="str">
        <f t="shared" si="0"/>
        <v>Normal Bill</v>
      </c>
      <c r="P31" t="str">
        <f t="shared" si="1"/>
        <v>Non Senior Citizen</v>
      </c>
      <c r="Q31" t="str">
        <f t="shared" si="2"/>
        <v>NHBC</v>
      </c>
      <c r="R31" t="str">
        <f>IF(AND(Patient_Data!L31="Pending",Patient_Data!K31&gt;30000),"UPF","NUPF")</f>
        <v>NUPF</v>
      </c>
      <c r="S31" t="str">
        <f t="shared" si="3"/>
        <v>Priority Department</v>
      </c>
      <c r="T31" t="str">
        <f t="shared" si="4"/>
        <v>Payment Completed</v>
      </c>
      <c r="U31" t="str">
        <f t="shared" si="5"/>
        <v>Medium</v>
      </c>
      <c r="V31" t="str">
        <f t="shared" si="6"/>
        <v>Medium</v>
      </c>
      <c r="W31" t="str">
        <f t="shared" si="7"/>
        <v>Normal</v>
      </c>
      <c r="X31" t="str">
        <f t="shared" si="8"/>
        <v>No Review</v>
      </c>
    </row>
    <row r="32" spans="1:24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>IF(Patient_Data!L32="Pending","Follow Up","No Action")</f>
        <v>No Action</v>
      </c>
      <c r="O32" t="str">
        <f t="shared" si="0"/>
        <v>Normal Bill</v>
      </c>
      <c r="P32" t="str">
        <f t="shared" si="1"/>
        <v>Non Senior Citizen</v>
      </c>
      <c r="Q32" t="str">
        <f t="shared" si="2"/>
        <v>NHBC</v>
      </c>
      <c r="R32" t="str">
        <f>IF(AND(Patient_Data!L32="Pending",Patient_Data!K32&gt;30000),"UPF","NUPF")</f>
        <v>NUPF</v>
      </c>
      <c r="S32" t="str">
        <f t="shared" si="3"/>
        <v>Regular Department</v>
      </c>
      <c r="T32" t="str">
        <f t="shared" si="4"/>
        <v>Payment Completed</v>
      </c>
      <c r="U32" t="str">
        <f t="shared" si="5"/>
        <v>Low</v>
      </c>
      <c r="V32" t="str">
        <f t="shared" si="6"/>
        <v>Low</v>
      </c>
      <c r="W32" t="str">
        <f t="shared" si="7"/>
        <v>Normal</v>
      </c>
      <c r="X32" t="str">
        <f t="shared" si="8"/>
        <v>No Review</v>
      </c>
    </row>
    <row r="33" spans="1:24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>IF(Patient_Data!L33="Pending","Follow Up","No Action")</f>
        <v>Follow Up</v>
      </c>
      <c r="O33" t="str">
        <f t="shared" si="0"/>
        <v>High Bill</v>
      </c>
      <c r="P33" t="str">
        <f t="shared" si="1"/>
        <v>Senior Citizen</v>
      </c>
      <c r="Q33" t="str">
        <f t="shared" si="2"/>
        <v>HBC</v>
      </c>
      <c r="R33" t="str">
        <f>IF(AND(Patient_Data!L33="Pending",Patient_Data!K33&gt;30000),"UPF","NUPF")</f>
        <v>UPF</v>
      </c>
      <c r="S33" t="str">
        <f t="shared" si="3"/>
        <v>Priority Department</v>
      </c>
      <c r="T33" t="str">
        <f t="shared" si="4"/>
        <v>Not Completed</v>
      </c>
      <c r="U33" t="str">
        <f t="shared" si="5"/>
        <v>High</v>
      </c>
      <c r="V33" t="str">
        <f t="shared" si="6"/>
        <v>High</v>
      </c>
      <c r="W33" t="str">
        <f t="shared" si="7"/>
        <v>High Risk</v>
      </c>
      <c r="X33" t="str">
        <f t="shared" si="8"/>
        <v>No Review</v>
      </c>
    </row>
    <row r="34" spans="1:24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>IF(Patient_Data!L34="Pending","Follow Up","No Action")</f>
        <v>No Action</v>
      </c>
      <c r="O34" t="str">
        <f t="shared" si="0"/>
        <v>High Bill</v>
      </c>
      <c r="P34" t="str">
        <f t="shared" si="1"/>
        <v>Non Senior Citizen</v>
      </c>
      <c r="Q34" t="str">
        <f t="shared" si="2"/>
        <v>HBC</v>
      </c>
      <c r="R34" t="str">
        <f>IF(AND(Patient_Data!L34="Pending",Patient_Data!K34&gt;30000),"UPF","NUPF")</f>
        <v>NUPF</v>
      </c>
      <c r="S34" t="str">
        <f t="shared" si="3"/>
        <v>Regular Department</v>
      </c>
      <c r="T34" t="str">
        <f t="shared" si="4"/>
        <v>Payment Completed</v>
      </c>
      <c r="U34" t="str">
        <f t="shared" si="5"/>
        <v>High</v>
      </c>
      <c r="V34" t="str">
        <f t="shared" si="6"/>
        <v>High</v>
      </c>
      <c r="W34" t="str">
        <f t="shared" si="7"/>
        <v>Normal</v>
      </c>
      <c r="X34" t="str">
        <f t="shared" si="8"/>
        <v>MR</v>
      </c>
    </row>
    <row r="35" spans="1:24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>IF(Patient_Data!L35="Pending","Follow Up","No Action")</f>
        <v>No Action</v>
      </c>
      <c r="O35" t="str">
        <f t="shared" si="0"/>
        <v>Normal Bill</v>
      </c>
      <c r="P35" t="str">
        <f t="shared" si="1"/>
        <v>Non Senior Citizen</v>
      </c>
      <c r="Q35" t="str">
        <f t="shared" si="2"/>
        <v>NHBC</v>
      </c>
      <c r="R35" t="str">
        <f>IF(AND(Patient_Data!L35="Pending",Patient_Data!K35&gt;30000),"UPF","NUPF")</f>
        <v>NUPF</v>
      </c>
      <c r="S35" t="str">
        <f t="shared" si="3"/>
        <v>Regular Department</v>
      </c>
      <c r="T35" t="str">
        <f t="shared" si="4"/>
        <v>Payment Completed</v>
      </c>
      <c r="U35" t="str">
        <f t="shared" si="5"/>
        <v>Medium</v>
      </c>
      <c r="V35" t="str">
        <f t="shared" si="6"/>
        <v>Medium</v>
      </c>
      <c r="W35" t="str">
        <f t="shared" si="7"/>
        <v>Normal</v>
      </c>
      <c r="X35" t="str">
        <f t="shared" si="8"/>
        <v>No Review</v>
      </c>
    </row>
    <row r="36" spans="1:24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>IF(Patient_Data!L36="Pending","Follow Up","No Action")</f>
        <v>Follow Up</v>
      </c>
      <c r="O36" t="str">
        <f t="shared" si="0"/>
        <v>Normal Bill</v>
      </c>
      <c r="P36" t="str">
        <f t="shared" si="1"/>
        <v>Senior Citizen</v>
      </c>
      <c r="Q36" t="str">
        <f t="shared" si="2"/>
        <v>NHBC</v>
      </c>
      <c r="R36" t="str">
        <f>IF(AND(Patient_Data!L36="Pending",Patient_Data!K36&gt;30000),"UPF","NUPF")</f>
        <v>UPF</v>
      </c>
      <c r="S36" t="str">
        <f t="shared" si="3"/>
        <v>Priority Department</v>
      </c>
      <c r="T36" t="str">
        <f t="shared" si="4"/>
        <v>Not Completed</v>
      </c>
      <c r="U36" t="str">
        <f t="shared" si="5"/>
        <v>High</v>
      </c>
      <c r="V36" t="str">
        <f t="shared" si="6"/>
        <v>High</v>
      </c>
      <c r="W36" t="str">
        <f t="shared" si="7"/>
        <v>Normal</v>
      </c>
      <c r="X36" t="str">
        <f t="shared" si="8"/>
        <v>MR</v>
      </c>
    </row>
    <row r="37" spans="1:24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>IF(Patient_Data!L37="Pending","Follow Up","No Action")</f>
        <v>No Action</v>
      </c>
      <c r="O37" t="str">
        <f t="shared" si="0"/>
        <v>Normal Bill</v>
      </c>
      <c r="P37" t="str">
        <f t="shared" si="1"/>
        <v>Non Senior Citizen</v>
      </c>
      <c r="Q37" t="str">
        <f t="shared" si="2"/>
        <v>NHBC</v>
      </c>
      <c r="R37" t="str">
        <f>IF(AND(Patient_Data!L37="Pending",Patient_Data!K37&gt;30000),"UPF","NUPF")</f>
        <v>NUPF</v>
      </c>
      <c r="S37" t="str">
        <f t="shared" si="3"/>
        <v>Regular Department</v>
      </c>
      <c r="T37" t="str">
        <f t="shared" si="4"/>
        <v>Payment Completed</v>
      </c>
      <c r="U37" t="str">
        <f t="shared" si="5"/>
        <v>Low</v>
      </c>
      <c r="V37" t="str">
        <f t="shared" si="6"/>
        <v>Low</v>
      </c>
      <c r="W37" t="str">
        <f t="shared" si="7"/>
        <v>Normal</v>
      </c>
      <c r="X37" t="str">
        <f t="shared" si="8"/>
        <v>No Review</v>
      </c>
    </row>
    <row r="38" spans="1:24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>IF(Patient_Data!L38="Pending","Follow Up","No Action")</f>
        <v>No Action</v>
      </c>
      <c r="O38" t="str">
        <f t="shared" si="0"/>
        <v>Normal Bill</v>
      </c>
      <c r="P38" t="str">
        <f t="shared" si="1"/>
        <v>Non Senior Citizen</v>
      </c>
      <c r="Q38" t="str">
        <f t="shared" si="2"/>
        <v>NHBC</v>
      </c>
      <c r="R38" t="str">
        <f>IF(AND(Patient_Data!L38="Pending",Patient_Data!K38&gt;30000),"UPF","NUPF")</f>
        <v>NUPF</v>
      </c>
      <c r="S38" t="str">
        <f t="shared" si="3"/>
        <v>Regular Department</v>
      </c>
      <c r="T38" t="str">
        <f t="shared" si="4"/>
        <v>Payment Completed</v>
      </c>
      <c r="U38" t="str">
        <f t="shared" si="5"/>
        <v>Medium</v>
      </c>
      <c r="V38" t="str">
        <f t="shared" si="6"/>
        <v>Medium</v>
      </c>
      <c r="W38" t="str">
        <f t="shared" si="7"/>
        <v>Normal</v>
      </c>
      <c r="X38" t="str">
        <f t="shared" si="8"/>
        <v>No Review</v>
      </c>
    </row>
    <row r="39" spans="1:24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>IF(Patient_Data!L39="Pending","Follow Up","No Action")</f>
        <v>No Action</v>
      </c>
      <c r="O39" t="str">
        <f t="shared" si="0"/>
        <v>Normal Bill</v>
      </c>
      <c r="P39" t="str">
        <f t="shared" si="1"/>
        <v>Non Senior Citizen</v>
      </c>
      <c r="Q39" t="str">
        <f t="shared" si="2"/>
        <v>NHBC</v>
      </c>
      <c r="R39" t="str">
        <f>IF(AND(Patient_Data!L39="Pending",Patient_Data!K39&gt;30000),"UPF","NUPF")</f>
        <v>NUPF</v>
      </c>
      <c r="S39" t="str">
        <f t="shared" si="3"/>
        <v>Priority Department</v>
      </c>
      <c r="T39" t="str">
        <f t="shared" si="4"/>
        <v>Payment Completed</v>
      </c>
      <c r="U39" t="str">
        <f t="shared" si="5"/>
        <v>Low</v>
      </c>
      <c r="V39" t="str">
        <f t="shared" si="6"/>
        <v>Low</v>
      </c>
      <c r="W39" t="str">
        <f t="shared" si="7"/>
        <v>Normal</v>
      </c>
      <c r="X39" t="str">
        <f t="shared" si="8"/>
        <v>No Review</v>
      </c>
    </row>
    <row r="40" spans="1:24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>IF(Patient_Data!L40="Pending","Follow Up","No Action")</f>
        <v>Follow Up</v>
      </c>
      <c r="O40" t="str">
        <f t="shared" si="0"/>
        <v>Normal Bill</v>
      </c>
      <c r="P40" t="str">
        <f t="shared" si="1"/>
        <v>Senior Citizen</v>
      </c>
      <c r="Q40" t="str">
        <f t="shared" si="2"/>
        <v>NHBC</v>
      </c>
      <c r="R40" t="str">
        <f>IF(AND(Patient_Data!L40="Pending",Patient_Data!K40&gt;30000),"UPF","NUPF")</f>
        <v>NUPF</v>
      </c>
      <c r="S40" t="str">
        <f t="shared" si="3"/>
        <v>Regular Department</v>
      </c>
      <c r="T40" t="str">
        <f t="shared" si="4"/>
        <v>Not Completed</v>
      </c>
      <c r="U40" t="str">
        <f t="shared" si="5"/>
        <v>Low</v>
      </c>
      <c r="V40" t="str">
        <f t="shared" si="6"/>
        <v>Low</v>
      </c>
      <c r="W40" t="str">
        <f t="shared" si="7"/>
        <v>Normal</v>
      </c>
      <c r="X40" t="str">
        <f t="shared" si="8"/>
        <v>No Review</v>
      </c>
    </row>
    <row r="41" spans="1:24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>IF(Patient_Data!L41="Pending","Follow Up","No Action")</f>
        <v>No Action</v>
      </c>
      <c r="O41" t="str">
        <f t="shared" si="0"/>
        <v>High Bill</v>
      </c>
      <c r="P41" t="str">
        <f t="shared" si="1"/>
        <v>Non Senior Citizen</v>
      </c>
      <c r="Q41" t="str">
        <f t="shared" si="2"/>
        <v>HBC</v>
      </c>
      <c r="R41" t="str">
        <f>IF(AND(Patient_Data!L41="Pending",Patient_Data!K41&gt;30000),"UPF","NUPF")</f>
        <v>NUPF</v>
      </c>
      <c r="S41" t="str">
        <f t="shared" si="3"/>
        <v>Priority Department</v>
      </c>
      <c r="T41" t="str">
        <f t="shared" si="4"/>
        <v>Payment Completed</v>
      </c>
      <c r="U41" t="str">
        <f t="shared" si="5"/>
        <v>Very High</v>
      </c>
      <c r="V41" t="str">
        <f t="shared" si="6"/>
        <v>VH</v>
      </c>
      <c r="W41" t="str">
        <f t="shared" si="7"/>
        <v>Normal</v>
      </c>
      <c r="X41" t="str">
        <f t="shared" si="8"/>
        <v>MR</v>
      </c>
    </row>
    <row r="47" spans="1:24">
      <c r="E47" t="s">
        <v>123</v>
      </c>
      <c r="H47" s="16">
        <f>SUM(Bills)</f>
        <v>1019500</v>
      </c>
    </row>
    <row r="48" spans="1:24">
      <c r="E48" t="s">
        <v>138</v>
      </c>
      <c r="H48" s="15">
        <f>SUMIF(Department,E41,Bills)</f>
        <v>443500</v>
      </c>
    </row>
    <row r="49" spans="5:8">
      <c r="E49" t="s">
        <v>139</v>
      </c>
      <c r="H49">
        <f>COUNTIF(Department,E40)</f>
        <v>7</v>
      </c>
    </row>
    <row r="50" spans="5:8">
      <c r="E50" t="s">
        <v>140</v>
      </c>
      <c r="H50" s="15">
        <f>AVERAGEIF(Department,E39,Bills)</f>
        <v>25571.428571428572</v>
      </c>
    </row>
    <row r="51" spans="5:8">
      <c r="E51" t="s">
        <v>124</v>
      </c>
      <c r="H51" s="15">
        <f>SUMIF(J2:J41,J31,Bills)</f>
        <v>499500</v>
      </c>
    </row>
    <row r="52" spans="5:8">
      <c r="E52" t="s">
        <v>125</v>
      </c>
      <c r="H52">
        <f>COUNTIF(L2:L41,L25)</f>
        <v>10</v>
      </c>
    </row>
    <row r="53" spans="5:8">
      <c r="E53" t="s">
        <v>126</v>
      </c>
      <c r="H53" s="15">
        <f>SUMIF(L2:L41,L25,Bills)</f>
        <v>344500</v>
      </c>
    </row>
    <row r="54" spans="5:8">
      <c r="E54" t="s">
        <v>127</v>
      </c>
      <c r="H54" s="15">
        <f>SUMIFS(Bills,Department,E26,J2:J41,J25)</f>
        <v>275500</v>
      </c>
    </row>
    <row r="55" spans="5:8">
      <c r="E55" t="s">
        <v>128</v>
      </c>
      <c r="H55">
        <f>COUNTIFS(Department,E41,L2:L41,L25)</f>
        <v>4</v>
      </c>
    </row>
    <row r="56" spans="5:8">
      <c r="E56" t="s">
        <v>129</v>
      </c>
      <c r="H56" s="15">
        <f>AVERAGEIF(J2:J41,J41,Bills)</f>
        <v>25766.666666666668</v>
      </c>
    </row>
    <row r="57" spans="5:8">
      <c r="E57" t="s">
        <v>130</v>
      </c>
      <c r="H57">
        <f>COUNTIF(Bills,"&gt;40000")</f>
        <v>9</v>
      </c>
    </row>
    <row r="58" spans="5:8">
      <c r="E58" t="s">
        <v>131</v>
      </c>
      <c r="H58" s="15">
        <f>SUMIF(Bills,"&gt;40000",Bills)</f>
        <v>508000</v>
      </c>
    </row>
    <row r="59" spans="5:8">
      <c r="E59" t="s">
        <v>132</v>
      </c>
      <c r="H59">
        <f>COUNTIF(M2:M41,"&gt;5")</f>
        <v>11</v>
      </c>
    </row>
    <row r="60" spans="5:8">
      <c r="E60" t="s">
        <v>133</v>
      </c>
      <c r="H60" s="15">
        <f>SUMIF(M2:M41,"&gt;5",Bills)</f>
        <v>582000</v>
      </c>
    </row>
    <row r="61" spans="5:8">
      <c r="E61" t="s">
        <v>134</v>
      </c>
      <c r="H61" s="15">
        <f>SUMIFS(Bills,Department,E21,M2:M41,"&gt;5")</f>
        <v>320000</v>
      </c>
    </row>
    <row r="62" spans="5:8">
      <c r="E62" t="s">
        <v>135</v>
      </c>
      <c r="H62">
        <f>AVERAGEIF(L2:L41,L25,M2:M41)</f>
        <v>5.8</v>
      </c>
    </row>
    <row r="63" spans="5:8">
      <c r="E63" t="s">
        <v>136</v>
      </c>
      <c r="H63" s="15">
        <f>_xlfn.MAXIFS(Bills,Department,E2)</f>
        <v>76000</v>
      </c>
    </row>
    <row r="64" spans="5:8">
      <c r="E64" t="s">
        <v>137</v>
      </c>
      <c r="H64" s="15">
        <f>_xlfn.MINIFS(Bills,Department,E24)</f>
        <v>12500</v>
      </c>
    </row>
    <row r="65" spans="5:8">
      <c r="E65" t="s">
        <v>141</v>
      </c>
      <c r="H65">
        <f>COUNTIFS(Department,E2,L2:L41,L25)</f>
        <v>4</v>
      </c>
    </row>
    <row r="66" spans="5:8">
      <c r="E66" t="s">
        <v>142</v>
      </c>
      <c r="H66" s="15">
        <f>AVERAGEIFS(Bills,Department,E21,J2:J41,J22)</f>
        <v>55100</v>
      </c>
    </row>
  </sheetData>
  <conditionalFormatting sqref="L1:L1048576">
    <cfRule type="containsText" dxfId="5" priority="7" operator="containsText" text="Pending">
      <formula>NOT(ISERROR(SEARCH("Pending",L1)))</formula>
    </cfRule>
  </conditionalFormatting>
  <conditionalFormatting sqref="N1:N1048576">
    <cfRule type="containsText" dxfId="4" priority="6" operator="containsText" text="Follow Up">
      <formula>NOT(ISERROR(SEARCH("Follow Up",N1)))</formula>
    </cfRule>
  </conditionalFormatting>
  <conditionalFormatting sqref="O1:O1048576">
    <cfRule type="containsText" dxfId="3" priority="5" operator="containsText" text="High Bill">
      <formula>NOT(ISERROR(SEARCH("High Bill",O1)))</formula>
    </cfRule>
  </conditionalFormatting>
  <conditionalFormatting sqref="P1:P1048576">
    <cfRule type="containsText" dxfId="2" priority="2" operator="containsText" text="Non Senior citizen">
      <formula>NOT(ISERROR(SEARCH("Non Senior citizen",P1)))</formula>
    </cfRule>
  </conditionalFormatting>
  <conditionalFormatting sqref="Q2:Q41">
    <cfRule type="containsText" dxfId="1" priority="3" operator="containsText" text="NHBC">
      <formula>NOT(ISERROR(SEARCH("NHBC",Q2)))</formula>
    </cfRule>
  </conditionalFormatting>
  <conditionalFormatting sqref="R1:R1048576">
    <cfRule type="containsText" dxfId="0" priority="1" operator="containsText" text="NUPF">
      <formula>NOT(ISERROR(SEARCH("NUPF",R1)))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topLeftCell="A7" workbookViewId="0">
      <selection activeCell="B34" sqref="B34"/>
    </sheetView>
  </sheetViews>
  <sheetFormatPr defaultRowHeight="14.5"/>
  <cols>
    <col min="1" max="1" width="98.08984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224</v>
      </c>
    </row>
    <row r="43" spans="1:3">
      <c r="A43" s="11"/>
    </row>
    <row r="44" spans="1:3">
      <c r="A44" s="11" t="s">
        <v>225</v>
      </c>
    </row>
    <row r="45" spans="1:3">
      <c r="A45" s="12" t="s">
        <v>226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zoomScale="63" workbookViewId="0">
      <selection activeCell="G2" sqref="G2:G21"/>
    </sheetView>
  </sheetViews>
  <sheetFormatPr defaultRowHeight="14.5"/>
  <cols>
    <col min="2" max="2" width="23.54296875" customWidth="1"/>
    <col min="3" max="3" width="17.1796875" customWidth="1"/>
    <col min="4" max="4" width="21.08984375" customWidth="1"/>
    <col min="7" max="7" width="8.726562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9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Patient_Data</vt:lpstr>
      <vt:lpstr>Questions</vt:lpstr>
      <vt:lpstr>Answers</vt:lpstr>
      <vt:lpstr>Bills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JASHUVA PRAKASH MIRIYALA</cp:lastModifiedBy>
  <dcterms:created xsi:type="dcterms:W3CDTF">2026-09-09T05:55:57Z</dcterms:created>
  <dcterms:modified xsi:type="dcterms:W3CDTF">2026-09-24T05:53:07Z</dcterms:modified>
</cp:coreProperties>
</file>