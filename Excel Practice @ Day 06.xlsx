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0029ba5c06f09a/Desktop/Excel Practice/"/>
    </mc:Choice>
  </mc:AlternateContent>
  <xr:revisionPtr revIDLastSave="6" documentId="13_ncr:1_{B85AD010-C4ED-4F97-871D-9262F2A8A9BC}" xr6:coauthVersionLast="47" xr6:coauthVersionMax="47" xr10:uidLastSave="{F9259D4E-8E3F-4E08-ABC0-7A7601BC5EA2}"/>
  <bookViews>
    <workbookView xWindow="-110" yWindow="-110" windowWidth="19420" windowHeight="10300" xr2:uid="{E03010A2-10A4-4CD2-AD45-567A05CD1053}"/>
  </bookViews>
  <sheets>
    <sheet name="Practice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" i="2" l="1"/>
  <c r="W2" i="2" s="1"/>
  <c r="G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54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" i="2"/>
  <c r="W10" i="2" l="1"/>
  <c r="W18" i="2"/>
  <c r="W17" i="2"/>
  <c r="W9" i="2"/>
  <c r="W13" i="2"/>
  <c r="W14" i="2"/>
  <c r="W6" i="2"/>
  <c r="W5" i="2"/>
  <c r="W16" i="2"/>
  <c r="W12" i="2"/>
  <c r="W8" i="2"/>
  <c r="W4" i="2"/>
  <c r="W19" i="2"/>
  <c r="W15" i="2"/>
  <c r="W11" i="2"/>
  <c r="W7" i="2"/>
  <c r="W3" i="2"/>
</calcChain>
</file>

<file path=xl/sharedStrings.xml><?xml version="1.0" encoding="utf-8"?>
<sst xmlns="http://schemas.openxmlformats.org/spreadsheetml/2006/main" count="149" uniqueCount="122">
  <si>
    <t>Department</t>
  </si>
  <si>
    <t>IT</t>
  </si>
  <si>
    <t>HR</t>
  </si>
  <si>
    <t>Finance</t>
  </si>
  <si>
    <t>Sales</t>
  </si>
  <si>
    <t>Emp_ID</t>
  </si>
  <si>
    <t>Employee_Name</t>
  </si>
  <si>
    <t>Email</t>
  </si>
  <si>
    <t>Location</t>
  </si>
  <si>
    <t>Joining_Date</t>
  </si>
  <si>
    <t>DOB</t>
  </si>
  <si>
    <t>Employee_Code</t>
  </si>
  <si>
    <t>Salary</t>
  </si>
  <si>
    <t>E101</t>
  </si>
  <si>
    <t>rahul sharma</t>
  </si>
  <si>
    <t>rahul.sharma@gmail.com</t>
  </si>
  <si>
    <t>Hyderabad</t>
  </si>
  <si>
    <t>HYD-SAL-101</t>
  </si>
  <si>
    <t>E102</t>
  </si>
  <si>
    <t>PRIYA REDDY</t>
  </si>
  <si>
    <t>priya.reddy@gmail.com</t>
  </si>
  <si>
    <t>HYD-FIN-102</t>
  </si>
  <si>
    <t>E103</t>
  </si>
  <si>
    <t>anil kumar</t>
  </si>
  <si>
    <t>anil.kumar@gmail.com</t>
  </si>
  <si>
    <t>Bangalore</t>
  </si>
  <si>
    <t>BLR-IT-103</t>
  </si>
  <si>
    <t>E104</t>
  </si>
  <si>
    <t>Sneha Rao</t>
  </si>
  <si>
    <t>sneha.rao@yahoo.com</t>
  </si>
  <si>
    <t>Chennai</t>
  </si>
  <si>
    <t>CHE-HR-104</t>
  </si>
  <si>
    <t>E105</t>
  </si>
  <si>
    <t>arjun verma</t>
  </si>
  <si>
    <t>arjun.verma@gmail.com</t>
  </si>
  <si>
    <t>HYD-IT-105</t>
  </si>
  <si>
    <t>E106</t>
  </si>
  <si>
    <t>MEENA DEVI</t>
  </si>
  <si>
    <t>meena.devi@gmail.com</t>
  </si>
  <si>
    <t>Mumbai</t>
  </si>
  <si>
    <t>MUM-SAL-106</t>
  </si>
  <si>
    <t>E107</t>
  </si>
  <si>
    <t>Kiran Reddy</t>
  </si>
  <si>
    <t>kiran.reddy@yahoo.com</t>
  </si>
  <si>
    <t>BLR-FIN-107</t>
  </si>
  <si>
    <t>E108</t>
  </si>
  <si>
    <t>rohit kumar</t>
  </si>
  <si>
    <t>rohit.kumar@gmail.com</t>
  </si>
  <si>
    <t>Marketing</t>
  </si>
  <si>
    <t>HYD-MKT-108</t>
  </si>
  <si>
    <t>E109</t>
  </si>
  <si>
    <t>ANJALI SHARMA</t>
  </si>
  <si>
    <t>anjali.sharma@gmail.com</t>
  </si>
  <si>
    <t>MUM-HR-109</t>
  </si>
  <si>
    <t>E110</t>
  </si>
  <si>
    <t>Vikram Singh</t>
  </si>
  <si>
    <t>vikram.singh@yahoo.com</t>
  </si>
  <si>
    <t>CHE-IT-110</t>
  </si>
  <si>
    <t>E111</t>
  </si>
  <si>
    <t>Neha Patel</t>
  </si>
  <si>
    <t>neha.patel@gmail.com</t>
  </si>
  <si>
    <t>HYD-SAL-111</t>
  </si>
  <si>
    <t>E112</t>
  </si>
  <si>
    <t>AMIT GUPTA</t>
  </si>
  <si>
    <t>amit.gupta@gmail.com</t>
  </si>
  <si>
    <t>MUM-FIN-112</t>
  </si>
  <si>
    <t>E113</t>
  </si>
  <si>
    <t>pooja nair</t>
  </si>
  <si>
    <t>pooja.nair@yahoo.com</t>
  </si>
  <si>
    <t>BLR-MKT-113</t>
  </si>
  <si>
    <t>E114</t>
  </si>
  <si>
    <t>Suresh Babu</t>
  </si>
  <si>
    <t>suresh.babu@gmail.com</t>
  </si>
  <si>
    <t>HYD-IT-114</t>
  </si>
  <si>
    <t>E115</t>
  </si>
  <si>
    <t>DIVYA REDDY</t>
  </si>
  <si>
    <t>divya.reddy@gmail.com</t>
  </si>
  <si>
    <t>CHE-HR-115</t>
  </si>
  <si>
    <t>E116</t>
  </si>
  <si>
    <t>Naveen Kumar</t>
  </si>
  <si>
    <t>naveen.kumar@yahoo.com</t>
  </si>
  <si>
    <t>MUM-SAL-116</t>
  </si>
  <si>
    <t>E117</t>
  </si>
  <si>
    <t>Swathi Rao</t>
  </si>
  <si>
    <t>swathi.rao@gmail.com</t>
  </si>
  <si>
    <t>HYD-FIN-117</t>
  </si>
  <si>
    <t>E118</t>
  </si>
  <si>
    <t>RAHUL VERMA</t>
  </si>
  <si>
    <t>rahul.verma@gmail.com</t>
  </si>
  <si>
    <t>CHE-MKT-118</t>
  </si>
  <si>
    <t>1. Extract the first 3 characters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</si>
  <si>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HYD</t>
    </r>
  </si>
  <si>
    <t>2. Extract the last 3 characters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</si>
  <si>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101</t>
    </r>
  </si>
  <si>
    <t>3. Extract the department code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</si>
  <si>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SAL</t>
    </r>
  </si>
  <si>
    <t>4. Find the number of characters in each employee's name.</t>
  </si>
  <si>
    <t>5. Remove unnecessary spaces from the Employee Name column.</t>
  </si>
  <si>
    <t>6. Convert all employee names into proper capitalization.</t>
  </si>
  <si>
    <r>
      <t xml:space="preserve">Example: </t>
    </r>
    <r>
      <rPr>
        <sz val="10"/>
        <color theme="1"/>
        <rFont val="Arial Unicode MS"/>
      </rPr>
      <t>rahul sharma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Rahul Sharma</t>
    </r>
  </si>
  <si>
    <t>7. Clean the employee names by removing unnecessary spaces and converting them into proper capitalization.</t>
  </si>
  <si>
    <r>
      <t xml:space="preserve">8. Find the position of the </t>
    </r>
    <r>
      <rPr>
        <sz val="10"/>
        <color theme="1"/>
        <rFont val="Arial Unicode MS"/>
      </rPr>
      <t>@</t>
    </r>
    <r>
      <rPr>
        <sz val="11"/>
        <color theme="1"/>
        <rFont val="Calibri"/>
        <family val="2"/>
        <scheme val="minor"/>
      </rPr>
      <t xml:space="preserve"> symbol in each employee's email address.</t>
    </r>
  </si>
  <si>
    <t>9. Extract the username from each employee's email address.</t>
  </si>
  <si>
    <r>
      <t xml:space="preserve">Example: </t>
    </r>
    <r>
      <rPr>
        <sz val="10"/>
        <color theme="1"/>
        <rFont val="Arial Unicode MS"/>
      </rPr>
      <t>rahul.sharma@gmail.com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rahul.sharma</t>
    </r>
  </si>
  <si>
    <t>10. Extract the domain from each employee's email address.</t>
  </si>
  <si>
    <r>
      <t xml:space="preserve">Example: </t>
    </r>
    <r>
      <rPr>
        <sz val="10"/>
        <color theme="1"/>
        <rFont val="Arial Unicode MS"/>
      </rPr>
      <t>rahul.sharma@gmail.com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gmail.com</t>
    </r>
  </si>
  <si>
    <r>
      <t xml:space="preserve">11. Check whether each employee's email address belongs to Gmail or another email provider. Display either </t>
    </r>
    <r>
      <rPr>
        <sz val="10"/>
        <color theme="1"/>
        <rFont val="Arial Unicode MS"/>
      </rPr>
      <t>Gmail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Other</t>
    </r>
    <r>
      <rPr>
        <sz val="11"/>
        <color theme="1"/>
        <rFont val="Calibri"/>
        <family val="2"/>
        <scheme val="minor"/>
      </rPr>
      <t>.</t>
    </r>
  </si>
  <si>
    <t>12. Create a new column containing the Employee ID and Employee Name in the following format:</t>
  </si>
  <si>
    <t>E101 - Rahul Sharma</t>
  </si>
  <si>
    <t>13. Create a new column in the following format:</t>
  </si>
  <si>
    <t>Rahul Sharma | Sales | Hyderabad</t>
  </si>
  <si>
    <r>
      <t xml:space="preserve">14. Replace </t>
    </r>
    <r>
      <rPr>
        <sz val="10"/>
        <color theme="1"/>
        <rFont val="Arial Unicode MS"/>
      </rPr>
      <t>gmail.com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company.com</t>
    </r>
    <r>
      <rPr>
        <sz val="11"/>
        <color theme="1"/>
        <rFont val="Calibri"/>
        <family val="2"/>
        <scheme val="minor"/>
      </rPr>
      <t xml:space="preserve"> in the email addresses.</t>
    </r>
  </si>
  <si>
    <t>Date &amp; Time Questions</t>
  </si>
  <si>
    <t>15. Extract the day from each employee's Joining Date.</t>
  </si>
  <si>
    <t>16. Extract the month number from each employee's Joining Date.</t>
  </si>
  <si>
    <t>17. Extract the year from each employee's Joining Date.</t>
  </si>
  <si>
    <t>18. Create a new column showing the year in which each employee joined.</t>
  </si>
  <si>
    <t>19. Create a new column showing the month in which each employee joined.</t>
  </si>
  <si>
    <r>
      <t xml:space="preserve">Example: </t>
    </r>
    <r>
      <rPr>
        <sz val="10"/>
        <color theme="1"/>
        <rFont val="Arial Unicode MS"/>
      </rPr>
      <t>15-Jan-2022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January</t>
    </r>
  </si>
  <si>
    <t>20. Display each employee's Joining Date in the format:</t>
  </si>
  <si>
    <t>21. Calculate the current age of each employee using their Date of Birth.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</si>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</sst>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5" fontId="0" fillId="0" borderId="0" xfId="0" applyNumberFormat="1" applyAlignment="1">
      <alignment vertical="center" wrapText="1"/>
    </xf>
    <xf numFmtId="16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17" fontId="3" fillId="0" borderId="0" xfId="0" applyNumberFormat="1" applyFont="1" applyAlignment="1">
      <alignment horizontal="left" vertical="center" indent="1"/>
    </xf>
    <xf numFmtId="14" fontId="0" fillId="0" borderId="0" xfId="0" applyNumberForma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hit.kumar@gmail.com" TargetMode="External"/><Relationship Id="rId13" Type="http://schemas.openxmlformats.org/officeDocument/2006/relationships/hyperlink" Target="mailto:pooja.nair@yahoo.com" TargetMode="External"/><Relationship Id="rId18" Type="http://schemas.openxmlformats.org/officeDocument/2006/relationships/hyperlink" Target="mailto:rahul.verma@gmail.com" TargetMode="External"/><Relationship Id="rId3" Type="http://schemas.openxmlformats.org/officeDocument/2006/relationships/hyperlink" Target="mailto:anil.kumar@gmail.com" TargetMode="External"/><Relationship Id="rId7" Type="http://schemas.openxmlformats.org/officeDocument/2006/relationships/hyperlink" Target="mailto:kiran.reddy@yahoo.com" TargetMode="External"/><Relationship Id="rId12" Type="http://schemas.openxmlformats.org/officeDocument/2006/relationships/hyperlink" Target="mailto:amit.gupta@gmail.com" TargetMode="External"/><Relationship Id="rId17" Type="http://schemas.openxmlformats.org/officeDocument/2006/relationships/hyperlink" Target="mailto:swathi.rao@gmail.com" TargetMode="External"/><Relationship Id="rId2" Type="http://schemas.openxmlformats.org/officeDocument/2006/relationships/hyperlink" Target="mailto:priya.reddy@gmail.com" TargetMode="External"/><Relationship Id="rId16" Type="http://schemas.openxmlformats.org/officeDocument/2006/relationships/hyperlink" Target="mailto:naveen.kumar@yahoo.com" TargetMode="External"/><Relationship Id="rId1" Type="http://schemas.openxmlformats.org/officeDocument/2006/relationships/hyperlink" Target="mailto:rahul.sharma@gmail.com" TargetMode="External"/><Relationship Id="rId6" Type="http://schemas.openxmlformats.org/officeDocument/2006/relationships/hyperlink" Target="mailto:meena.devi@gmail.com" TargetMode="External"/><Relationship Id="rId11" Type="http://schemas.openxmlformats.org/officeDocument/2006/relationships/hyperlink" Target="mailto:neha.patel@gmail.com" TargetMode="External"/><Relationship Id="rId5" Type="http://schemas.openxmlformats.org/officeDocument/2006/relationships/hyperlink" Target="mailto:arjun.verma@gmail.com" TargetMode="External"/><Relationship Id="rId15" Type="http://schemas.openxmlformats.org/officeDocument/2006/relationships/hyperlink" Target="mailto:divya.reddy@gmail.com" TargetMode="External"/><Relationship Id="rId10" Type="http://schemas.openxmlformats.org/officeDocument/2006/relationships/hyperlink" Target="mailto:vikram.singh@yahoo.com" TargetMode="External"/><Relationship Id="rId4" Type="http://schemas.openxmlformats.org/officeDocument/2006/relationships/hyperlink" Target="mailto:sneha.rao@yahoo.com" TargetMode="External"/><Relationship Id="rId9" Type="http://schemas.openxmlformats.org/officeDocument/2006/relationships/hyperlink" Target="mailto:anjali.sharma@gmail.com" TargetMode="External"/><Relationship Id="rId14" Type="http://schemas.openxmlformats.org/officeDocument/2006/relationships/hyperlink" Target="mailto:suresh.bab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552C-E74D-411A-A738-C82F54F25F60}">
  <dimension ref="A1:X71"/>
  <sheetViews>
    <sheetView tabSelected="1" topLeftCell="A51" zoomScale="83" workbookViewId="0">
      <selection activeCell="J2" sqref="J2"/>
    </sheetView>
  </sheetViews>
  <sheetFormatPr defaultRowHeight="14.5"/>
  <cols>
    <col min="1" max="1" width="20.1796875" customWidth="1"/>
    <col min="2" max="2" width="20.6328125" customWidth="1"/>
    <col min="3" max="3" width="24.36328125" customWidth="1"/>
    <col min="4" max="4" width="15.453125" customWidth="1"/>
    <col min="5" max="5" width="14" customWidth="1"/>
    <col min="6" max="6" width="16.08984375" customWidth="1"/>
    <col min="7" max="7" width="16.1796875" customWidth="1"/>
    <col min="8" max="8" width="18.54296875" customWidth="1"/>
    <col min="9" max="9" width="12.90625" customWidth="1"/>
    <col min="10" max="10" width="14.453125" customWidth="1"/>
    <col min="13" max="13" width="14.7265625" bestFit="1" customWidth="1"/>
    <col min="14" max="14" width="14.54296875" bestFit="1" customWidth="1"/>
    <col min="15" max="15" width="13.08984375" bestFit="1" customWidth="1"/>
    <col min="17" max="17" width="12.90625" bestFit="1" customWidth="1"/>
    <col min="18" max="18" width="10.08984375" bestFit="1" customWidth="1"/>
    <col min="20" max="20" width="17.81640625" bestFit="1" customWidth="1"/>
    <col min="21" max="21" width="31" bestFit="1" customWidth="1"/>
    <col min="22" max="22" width="26" bestFit="1" customWidth="1"/>
    <col min="24" max="24" width="10.54296875" bestFit="1" customWidth="1"/>
  </cols>
  <sheetData>
    <row r="1" spans="1:24">
      <c r="A1" s="5" t="s">
        <v>5</v>
      </c>
      <c r="B1" s="5" t="s">
        <v>6</v>
      </c>
      <c r="C1" s="5" t="s">
        <v>7</v>
      </c>
      <c r="D1" s="5" t="s">
        <v>0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W1" t="s">
        <v>121</v>
      </c>
    </row>
    <row r="2" spans="1:24">
      <c r="A2" s="1" t="s">
        <v>13</v>
      </c>
      <c r="B2" s="1" t="s">
        <v>14</v>
      </c>
      <c r="C2" s="2" t="s">
        <v>15</v>
      </c>
      <c r="D2" s="1" t="s">
        <v>4</v>
      </c>
      <c r="E2" s="1" t="s">
        <v>16</v>
      </c>
      <c r="F2" s="3">
        <v>44576</v>
      </c>
      <c r="G2" s="3">
        <v>34862</v>
      </c>
      <c r="H2" s="1" t="s">
        <v>17</v>
      </c>
      <c r="I2" s="1">
        <v>45000</v>
      </c>
      <c r="J2" s="10" t="str">
        <f>LEFT(H2,3)</f>
        <v>HYD</v>
      </c>
      <c r="K2" t="str">
        <f>RIGHT(H2,3)</f>
        <v>101</v>
      </c>
      <c r="L2" t="str">
        <f>MID(H2,5,3)</f>
        <v>SAL</v>
      </c>
      <c r="M2">
        <f>LEN(B2)</f>
        <v>12</v>
      </c>
      <c r="N2" t="str">
        <f>TRIM(B2)</f>
        <v>rahul sharma</v>
      </c>
      <c r="O2" t="str">
        <f>PROPER(B2)</f>
        <v>Rahul Sharma</v>
      </c>
      <c r="P2">
        <f>FIND("@",C2,1)</f>
        <v>13</v>
      </c>
      <c r="Q2" t="str">
        <f>LEFT(C2,P2-1)</f>
        <v>rahul.sharma</v>
      </c>
      <c r="R2" t="str">
        <f>RIGHT(C2,9)</f>
        <v>gmail.com</v>
      </c>
      <c r="S2" t="str">
        <f>IF(R2="gmail.com","Gmail","Other")</f>
        <v>Gmail</v>
      </c>
      <c r="T2" t="str">
        <f>_xlfn.CONCAT(A2,"-",O2)</f>
        <v>E101-Rahul Sharma</v>
      </c>
      <c r="U2" t="str">
        <f>_xlfn.TEXTJOIN("|",TRUE,O2,D2,E2)</f>
        <v>Rahul Sharma|Sales|Hyderabad</v>
      </c>
      <c r="V2" t="str">
        <f>SUBSTITUTE(C2,"gmail.com","company.com")</f>
        <v>rahul.sharma@company.com</v>
      </c>
      <c r="W2" s="11">
        <f ca="1">YEARFRAC(G2,$X$2)</f>
        <v>31.319444444444443</v>
      </c>
      <c r="X2" s="10">
        <f ca="1">TODAY()</f>
        <v>46302</v>
      </c>
    </row>
    <row r="3" spans="1:24">
      <c r="A3" s="1" t="s">
        <v>18</v>
      </c>
      <c r="B3" s="1" t="s">
        <v>19</v>
      </c>
      <c r="C3" s="2" t="s">
        <v>20</v>
      </c>
      <c r="D3" s="1" t="s">
        <v>3</v>
      </c>
      <c r="E3" s="1" t="s">
        <v>16</v>
      </c>
      <c r="F3" s="3">
        <v>44277</v>
      </c>
      <c r="G3" s="3">
        <v>33821</v>
      </c>
      <c r="H3" s="1" t="s">
        <v>21</v>
      </c>
      <c r="I3" s="1">
        <v>52000</v>
      </c>
      <c r="J3" s="10" t="str">
        <f t="shared" ref="J3:J19" si="0">LEFT(H3,3)</f>
        <v>HYD</v>
      </c>
      <c r="K3" t="str">
        <f t="shared" ref="K3:K19" si="1">RIGHT(H3,3)</f>
        <v>102</v>
      </c>
      <c r="L3" t="str">
        <f t="shared" ref="L3:L19" si="2">TRIM(MID(H3,5,3))</f>
        <v>FIN</v>
      </c>
      <c r="M3">
        <f t="shared" ref="M3:M19" si="3">LEN(B3)</f>
        <v>11</v>
      </c>
      <c r="N3" t="str">
        <f t="shared" ref="N3:N19" si="4">TRIM(B3)</f>
        <v>PRIYA REDDY</v>
      </c>
      <c r="O3" t="str">
        <f t="shared" ref="O3:O19" si="5">PROPER(B3)</f>
        <v>Priya Reddy</v>
      </c>
      <c r="P3">
        <f t="shared" ref="P3:P19" si="6">FIND("@",C3,1)</f>
        <v>12</v>
      </c>
      <c r="Q3" t="str">
        <f t="shared" ref="Q3:Q19" si="7">LEFT(C3,P3-1)</f>
        <v>priya.reddy</v>
      </c>
      <c r="R3" t="str">
        <f t="shared" ref="R3:R19" si="8">RIGHT(C3,9)</f>
        <v>gmail.com</v>
      </c>
      <c r="S3" t="str">
        <f t="shared" ref="S3:S19" si="9">IF(R3="gmail.com","Gmail","Other")</f>
        <v>Gmail</v>
      </c>
      <c r="T3" t="str">
        <f t="shared" ref="T3:T19" si="10">_xlfn.CONCAT(A3,"-",O3)</f>
        <v>E102-Priya Reddy</v>
      </c>
      <c r="U3" t="str">
        <f t="shared" ref="U3:U19" si="11">_xlfn.TEXTJOIN("|",TRUE,O3,D3,E3)</f>
        <v>Priya Reddy|Finance|Hyderabad</v>
      </c>
      <c r="V3" t="str">
        <f t="shared" ref="V3:V19" si="12">SUBSTITUTE(C3,"gmail.com","company.com")</f>
        <v>priya.reddy@company.com</v>
      </c>
      <c r="W3" s="11">
        <f t="shared" ref="W3:W19" ca="1" si="13">YEARFRAC(G3,$X$2)</f>
        <v>34.172222222222224</v>
      </c>
    </row>
    <row r="4" spans="1:24">
      <c r="A4" s="1" t="s">
        <v>22</v>
      </c>
      <c r="B4" s="1" t="s">
        <v>23</v>
      </c>
      <c r="C4" s="2" t="s">
        <v>24</v>
      </c>
      <c r="D4" s="1" t="s">
        <v>1</v>
      </c>
      <c r="E4" s="1" t="s">
        <v>25</v>
      </c>
      <c r="F4" s="3">
        <v>45117</v>
      </c>
      <c r="G4" s="3">
        <v>35844</v>
      </c>
      <c r="H4" s="1" t="s">
        <v>26</v>
      </c>
      <c r="I4" s="1">
        <v>48000</v>
      </c>
      <c r="J4" s="10" t="str">
        <f t="shared" si="0"/>
        <v>BLR</v>
      </c>
      <c r="K4" t="str">
        <f t="shared" si="1"/>
        <v>103</v>
      </c>
      <c r="L4" t="str">
        <f t="shared" si="2"/>
        <v>IT-</v>
      </c>
      <c r="M4">
        <f t="shared" si="3"/>
        <v>10</v>
      </c>
      <c r="N4" t="str">
        <f t="shared" si="4"/>
        <v>anil kumar</v>
      </c>
      <c r="O4" t="str">
        <f t="shared" si="5"/>
        <v>Anil Kumar</v>
      </c>
      <c r="P4">
        <f t="shared" si="6"/>
        <v>11</v>
      </c>
      <c r="Q4" t="str">
        <f t="shared" si="7"/>
        <v>anil.kumar</v>
      </c>
      <c r="R4" t="str">
        <f t="shared" si="8"/>
        <v>gmail.com</v>
      </c>
      <c r="S4" t="str">
        <f t="shared" si="9"/>
        <v>Gmail</v>
      </c>
      <c r="T4" t="str">
        <f t="shared" si="10"/>
        <v>E103-Anil Kumar</v>
      </c>
      <c r="U4" t="str">
        <f t="shared" si="11"/>
        <v>Anil Kumar|IT|Bangalore</v>
      </c>
      <c r="V4" t="str">
        <f t="shared" si="12"/>
        <v>anil.kumar@company.com</v>
      </c>
      <c r="W4" s="11">
        <f t="shared" ca="1" si="13"/>
        <v>28.636111111111113</v>
      </c>
    </row>
    <row r="5" spans="1:24">
      <c r="A5" s="1" t="s">
        <v>27</v>
      </c>
      <c r="B5" s="1" t="s">
        <v>28</v>
      </c>
      <c r="C5" s="2" t="s">
        <v>29</v>
      </c>
      <c r="D5" s="1" t="s">
        <v>2</v>
      </c>
      <c r="E5" s="1" t="s">
        <v>30</v>
      </c>
      <c r="F5" s="3">
        <v>43866</v>
      </c>
      <c r="G5" s="3">
        <v>33202</v>
      </c>
      <c r="H5" s="1" t="s">
        <v>31</v>
      </c>
      <c r="I5" s="1">
        <v>50000</v>
      </c>
      <c r="J5" s="10" t="str">
        <f t="shared" si="0"/>
        <v>CHE</v>
      </c>
      <c r="K5" t="str">
        <f t="shared" si="1"/>
        <v>104</v>
      </c>
      <c r="L5" t="str">
        <f t="shared" si="2"/>
        <v>HR-</v>
      </c>
      <c r="M5">
        <f t="shared" si="3"/>
        <v>9</v>
      </c>
      <c r="N5" t="str">
        <f t="shared" si="4"/>
        <v>Sneha Rao</v>
      </c>
      <c r="O5" t="str">
        <f t="shared" si="5"/>
        <v>Sneha Rao</v>
      </c>
      <c r="P5">
        <f t="shared" si="6"/>
        <v>10</v>
      </c>
      <c r="Q5" t="str">
        <f t="shared" si="7"/>
        <v>sneha.rao</v>
      </c>
      <c r="R5" t="str">
        <f t="shared" si="8"/>
        <v>yahoo.com</v>
      </c>
      <c r="S5" t="str">
        <f t="shared" si="9"/>
        <v>Other</v>
      </c>
      <c r="T5" t="str">
        <f t="shared" si="10"/>
        <v>E104-Sneha Rao</v>
      </c>
      <c r="U5" t="str">
        <f t="shared" si="11"/>
        <v>Sneha Rao|HR|Chennai</v>
      </c>
      <c r="V5" t="str">
        <f t="shared" si="12"/>
        <v>sneha.rao@yahoo.com</v>
      </c>
      <c r="W5" s="11">
        <f t="shared" ca="1" si="13"/>
        <v>35.866666666666667</v>
      </c>
    </row>
    <row r="6" spans="1:24">
      <c r="A6" s="1" t="s">
        <v>32</v>
      </c>
      <c r="B6" s="1" t="s">
        <v>33</v>
      </c>
      <c r="C6" s="2" t="s">
        <v>34</v>
      </c>
      <c r="D6" s="1" t="s">
        <v>1</v>
      </c>
      <c r="E6" s="1" t="s">
        <v>16</v>
      </c>
      <c r="F6" s="3">
        <v>44822</v>
      </c>
      <c r="G6" s="3">
        <v>35154</v>
      </c>
      <c r="H6" s="1" t="s">
        <v>35</v>
      </c>
      <c r="I6" s="1">
        <v>60000</v>
      </c>
      <c r="J6" s="10" t="str">
        <f t="shared" si="0"/>
        <v>HYD</v>
      </c>
      <c r="K6" t="str">
        <f t="shared" si="1"/>
        <v>105</v>
      </c>
      <c r="L6" t="str">
        <f t="shared" si="2"/>
        <v>IT-</v>
      </c>
      <c r="M6">
        <f t="shared" si="3"/>
        <v>11</v>
      </c>
      <c r="N6" t="str">
        <f t="shared" si="4"/>
        <v>arjun verma</v>
      </c>
      <c r="O6" t="str">
        <f t="shared" si="5"/>
        <v>Arjun Verma</v>
      </c>
      <c r="P6">
        <f t="shared" si="6"/>
        <v>12</v>
      </c>
      <c r="Q6" t="str">
        <f t="shared" si="7"/>
        <v>arjun.verma</v>
      </c>
      <c r="R6" t="str">
        <f t="shared" si="8"/>
        <v>gmail.com</v>
      </c>
      <c r="S6" t="str">
        <f t="shared" si="9"/>
        <v>Gmail</v>
      </c>
      <c r="T6" t="str">
        <f t="shared" si="10"/>
        <v>E105-Arjun Verma</v>
      </c>
      <c r="U6" t="str">
        <f t="shared" si="11"/>
        <v>Arjun Verma|IT|Hyderabad</v>
      </c>
      <c r="V6" t="str">
        <f t="shared" si="12"/>
        <v>arjun.verma@company.com</v>
      </c>
      <c r="W6" s="11">
        <f t="shared" ca="1" si="13"/>
        <v>30.519444444444446</v>
      </c>
    </row>
    <row r="7" spans="1:24">
      <c r="A7" s="1" t="s">
        <v>36</v>
      </c>
      <c r="B7" s="1" t="s">
        <v>37</v>
      </c>
      <c r="C7" s="2" t="s">
        <v>38</v>
      </c>
      <c r="D7" s="1" t="s">
        <v>4</v>
      </c>
      <c r="E7" s="1" t="s">
        <v>39</v>
      </c>
      <c r="F7" s="3">
        <v>45393</v>
      </c>
      <c r="G7" s="3">
        <v>36539</v>
      </c>
      <c r="H7" s="1" t="s">
        <v>40</v>
      </c>
      <c r="I7" s="1">
        <v>38000</v>
      </c>
      <c r="J7" s="10" t="str">
        <f t="shared" si="0"/>
        <v>MUM</v>
      </c>
      <c r="K7" t="str">
        <f t="shared" si="1"/>
        <v>106</v>
      </c>
      <c r="L7" t="str">
        <f t="shared" si="2"/>
        <v>SAL</v>
      </c>
      <c r="M7">
        <f t="shared" si="3"/>
        <v>10</v>
      </c>
      <c r="N7" t="str">
        <f t="shared" si="4"/>
        <v>MEENA DEVI</v>
      </c>
      <c r="O7" t="str">
        <f t="shared" si="5"/>
        <v>Meena Devi</v>
      </c>
      <c r="P7">
        <f t="shared" si="6"/>
        <v>11</v>
      </c>
      <c r="Q7" t="str">
        <f t="shared" si="7"/>
        <v>meena.devi</v>
      </c>
      <c r="R7" t="str">
        <f t="shared" si="8"/>
        <v>gmail.com</v>
      </c>
      <c r="S7" t="str">
        <f t="shared" si="9"/>
        <v>Gmail</v>
      </c>
      <c r="T7" t="str">
        <f t="shared" si="10"/>
        <v>E106-Meena Devi</v>
      </c>
      <c r="U7" t="str">
        <f t="shared" si="11"/>
        <v>Meena Devi|Sales|Mumbai</v>
      </c>
      <c r="V7" t="str">
        <f t="shared" si="12"/>
        <v>meena.devi@company.com</v>
      </c>
      <c r="W7" s="11">
        <f t="shared" ca="1" si="13"/>
        <v>26.730555555555554</v>
      </c>
    </row>
    <row r="8" spans="1:24">
      <c r="A8" s="1" t="s">
        <v>41</v>
      </c>
      <c r="B8" s="1" t="s">
        <v>42</v>
      </c>
      <c r="C8" s="2" t="s">
        <v>43</v>
      </c>
      <c r="D8" s="1" t="s">
        <v>3</v>
      </c>
      <c r="E8" s="1" t="s">
        <v>25</v>
      </c>
      <c r="F8" s="3">
        <v>44527</v>
      </c>
      <c r="G8" s="3">
        <v>34171</v>
      </c>
      <c r="H8" s="1" t="s">
        <v>44</v>
      </c>
      <c r="I8" s="1">
        <v>57000</v>
      </c>
      <c r="J8" s="10" t="str">
        <f t="shared" si="0"/>
        <v>BLR</v>
      </c>
      <c r="K8" t="str">
        <f t="shared" si="1"/>
        <v>107</v>
      </c>
      <c r="L8" t="str">
        <f t="shared" si="2"/>
        <v>FIN</v>
      </c>
      <c r="M8">
        <f t="shared" si="3"/>
        <v>11</v>
      </c>
      <c r="N8" t="str">
        <f t="shared" si="4"/>
        <v>Kiran Reddy</v>
      </c>
      <c r="O8" t="str">
        <f t="shared" si="5"/>
        <v>Kiran Reddy</v>
      </c>
      <c r="P8">
        <f t="shared" si="6"/>
        <v>12</v>
      </c>
      <c r="Q8" t="str">
        <f t="shared" si="7"/>
        <v>kiran.reddy</v>
      </c>
      <c r="R8" t="str">
        <f t="shared" si="8"/>
        <v>yahoo.com</v>
      </c>
      <c r="S8" t="str">
        <f t="shared" si="9"/>
        <v>Other</v>
      </c>
      <c r="T8" t="str">
        <f t="shared" si="10"/>
        <v>E107-Kiran Reddy</v>
      </c>
      <c r="U8" t="str">
        <f t="shared" si="11"/>
        <v>Kiran Reddy|Finance|Bangalore</v>
      </c>
      <c r="V8" t="str">
        <f t="shared" si="12"/>
        <v>kiran.reddy@yahoo.com</v>
      </c>
      <c r="W8" s="11">
        <f t="shared" ca="1" si="13"/>
        <v>33.211111111111109</v>
      </c>
    </row>
    <row r="9" spans="1:24">
      <c r="A9" s="1" t="s">
        <v>45</v>
      </c>
      <c r="B9" s="1" t="s">
        <v>46</v>
      </c>
      <c r="C9" s="2" t="s">
        <v>47</v>
      </c>
      <c r="D9" s="1" t="s">
        <v>48</v>
      </c>
      <c r="E9" s="1" t="s">
        <v>16</v>
      </c>
      <c r="F9" s="3">
        <v>44935</v>
      </c>
      <c r="G9" s="3">
        <v>35706</v>
      </c>
      <c r="H9" s="1" t="s">
        <v>49</v>
      </c>
      <c r="I9" s="1">
        <v>42000</v>
      </c>
      <c r="J9" s="10" t="str">
        <f t="shared" si="0"/>
        <v>HYD</v>
      </c>
      <c r="K9" t="str">
        <f t="shared" si="1"/>
        <v>108</v>
      </c>
      <c r="L9" t="str">
        <f t="shared" si="2"/>
        <v>MKT</v>
      </c>
      <c r="M9">
        <f t="shared" si="3"/>
        <v>11</v>
      </c>
      <c r="N9" t="str">
        <f t="shared" si="4"/>
        <v>rohit kumar</v>
      </c>
      <c r="O9" t="str">
        <f t="shared" si="5"/>
        <v>Rohit Kumar</v>
      </c>
      <c r="P9">
        <f t="shared" si="6"/>
        <v>12</v>
      </c>
      <c r="Q9" t="str">
        <f t="shared" si="7"/>
        <v>rohit.kumar</v>
      </c>
      <c r="R9" t="str">
        <f t="shared" si="8"/>
        <v>gmail.com</v>
      </c>
      <c r="S9" t="str">
        <f t="shared" si="9"/>
        <v>Gmail</v>
      </c>
      <c r="T9" t="str">
        <f t="shared" si="10"/>
        <v>E108-Rohit Kumar</v>
      </c>
      <c r="U9" t="str">
        <f t="shared" si="11"/>
        <v>Rohit Kumar|Marketing|Hyderabad</v>
      </c>
      <c r="V9" t="str">
        <f t="shared" si="12"/>
        <v>rohit.kumar@company.com</v>
      </c>
      <c r="W9" s="11">
        <f t="shared" ca="1" si="13"/>
        <v>29.011111111111113</v>
      </c>
    </row>
    <row r="10" spans="1:24">
      <c r="A10" s="1" t="s">
        <v>50</v>
      </c>
      <c r="B10" s="1" t="s">
        <v>51</v>
      </c>
      <c r="C10" s="2" t="s">
        <v>52</v>
      </c>
      <c r="D10" s="1" t="s">
        <v>2</v>
      </c>
      <c r="E10" s="1" t="s">
        <v>39</v>
      </c>
      <c r="F10" s="3">
        <v>43996</v>
      </c>
      <c r="G10" s="3">
        <v>33374</v>
      </c>
      <c r="H10" s="1" t="s">
        <v>53</v>
      </c>
      <c r="I10" s="1">
        <v>55000</v>
      </c>
      <c r="J10" s="10" t="str">
        <f t="shared" si="0"/>
        <v>MUM</v>
      </c>
      <c r="K10" t="str">
        <f t="shared" si="1"/>
        <v>109</v>
      </c>
      <c r="L10" t="str">
        <f t="shared" si="2"/>
        <v>HR-</v>
      </c>
      <c r="M10">
        <f t="shared" si="3"/>
        <v>13</v>
      </c>
      <c r="N10" t="str">
        <f t="shared" si="4"/>
        <v>ANJALI SHARMA</v>
      </c>
      <c r="O10" t="str">
        <f t="shared" si="5"/>
        <v>Anjali Sharma</v>
      </c>
      <c r="P10">
        <f t="shared" si="6"/>
        <v>14</v>
      </c>
      <c r="Q10" t="str">
        <f t="shared" si="7"/>
        <v>anjali.sharma</v>
      </c>
      <c r="R10" t="str">
        <f t="shared" si="8"/>
        <v>gmail.com</v>
      </c>
      <c r="S10" t="str">
        <f t="shared" si="9"/>
        <v>Gmail</v>
      </c>
      <c r="T10" t="str">
        <f t="shared" si="10"/>
        <v>E109-Anjali Sharma</v>
      </c>
      <c r="U10" t="str">
        <f t="shared" si="11"/>
        <v>Anjali Sharma|HR|Mumbai</v>
      </c>
      <c r="V10" t="str">
        <f t="shared" si="12"/>
        <v>anjali.sharma@company.com</v>
      </c>
      <c r="W10" s="11">
        <f t="shared" ca="1" si="13"/>
        <v>35.391666666666666</v>
      </c>
    </row>
    <row r="11" spans="1:24">
      <c r="A11" s="1" t="s">
        <v>54</v>
      </c>
      <c r="B11" s="1" t="s">
        <v>55</v>
      </c>
      <c r="C11" s="2" t="s">
        <v>56</v>
      </c>
      <c r="D11" s="1" t="s">
        <v>1</v>
      </c>
      <c r="E11" s="1" t="s">
        <v>30</v>
      </c>
      <c r="F11" s="3">
        <v>45168</v>
      </c>
      <c r="G11" s="3">
        <v>36503</v>
      </c>
      <c r="H11" s="1" t="s">
        <v>57</v>
      </c>
      <c r="I11" s="1">
        <v>47000</v>
      </c>
      <c r="J11" s="10" t="str">
        <f t="shared" si="0"/>
        <v>CHE</v>
      </c>
      <c r="K11" t="str">
        <f t="shared" si="1"/>
        <v>110</v>
      </c>
      <c r="L11" t="str">
        <f t="shared" si="2"/>
        <v>IT-</v>
      </c>
      <c r="M11">
        <f t="shared" si="3"/>
        <v>12</v>
      </c>
      <c r="N11" t="str">
        <f t="shared" si="4"/>
        <v>Vikram Singh</v>
      </c>
      <c r="O11" t="str">
        <f t="shared" si="5"/>
        <v>Vikram Singh</v>
      </c>
      <c r="P11">
        <f t="shared" si="6"/>
        <v>13</v>
      </c>
      <c r="Q11" t="str">
        <f t="shared" si="7"/>
        <v>vikram.singh</v>
      </c>
      <c r="R11" t="str">
        <f t="shared" si="8"/>
        <v>yahoo.com</v>
      </c>
      <c r="S11" t="str">
        <f t="shared" si="9"/>
        <v>Other</v>
      </c>
      <c r="T11" t="str">
        <f t="shared" si="10"/>
        <v>E110-Vikram Singh</v>
      </c>
      <c r="U11" t="str">
        <f t="shared" si="11"/>
        <v>Vikram Singh|IT|Chennai</v>
      </c>
      <c r="V11" t="str">
        <f t="shared" si="12"/>
        <v>vikram.singh@yahoo.com</v>
      </c>
      <c r="W11" s="11">
        <f t="shared" ca="1" si="13"/>
        <v>26.827777777777779</v>
      </c>
    </row>
    <row r="12" spans="1:24">
      <c r="A12" s="1" t="s">
        <v>58</v>
      </c>
      <c r="B12" s="1" t="s">
        <v>59</v>
      </c>
      <c r="C12" s="2" t="s">
        <v>60</v>
      </c>
      <c r="D12" s="1" t="s">
        <v>4</v>
      </c>
      <c r="E12" s="1" t="s">
        <v>16</v>
      </c>
      <c r="F12" s="3">
        <v>44604</v>
      </c>
      <c r="G12" s="3">
        <v>34451</v>
      </c>
      <c r="H12" s="1" t="s">
        <v>61</v>
      </c>
      <c r="I12" s="1">
        <v>46000</v>
      </c>
      <c r="J12" s="10" t="str">
        <f t="shared" si="0"/>
        <v>HYD</v>
      </c>
      <c r="K12" t="str">
        <f t="shared" si="1"/>
        <v>111</v>
      </c>
      <c r="L12" t="str">
        <f t="shared" si="2"/>
        <v>SAL</v>
      </c>
      <c r="M12">
        <f t="shared" si="3"/>
        <v>10</v>
      </c>
      <c r="N12" t="str">
        <f t="shared" si="4"/>
        <v>Neha Patel</v>
      </c>
      <c r="O12" t="str">
        <f t="shared" si="5"/>
        <v>Neha Patel</v>
      </c>
      <c r="P12">
        <f t="shared" si="6"/>
        <v>11</v>
      </c>
      <c r="Q12" t="str">
        <f t="shared" si="7"/>
        <v>neha.patel</v>
      </c>
      <c r="R12" t="str">
        <f t="shared" si="8"/>
        <v>gmail.com</v>
      </c>
      <c r="S12" t="str">
        <f t="shared" si="9"/>
        <v>Gmail</v>
      </c>
      <c r="T12" t="str">
        <f t="shared" si="10"/>
        <v>E111-Neha Patel</v>
      </c>
      <c r="U12" t="str">
        <f t="shared" si="11"/>
        <v>Neha Patel|Sales|Hyderabad</v>
      </c>
      <c r="V12" t="str">
        <f t="shared" si="12"/>
        <v>neha.patel@company.com</v>
      </c>
      <c r="W12" s="11">
        <f t="shared" ca="1" si="13"/>
        <v>32.444444444444443</v>
      </c>
    </row>
    <row r="13" spans="1:24">
      <c r="A13" s="1" t="s">
        <v>62</v>
      </c>
      <c r="B13" s="1" t="s">
        <v>63</v>
      </c>
      <c r="C13" s="2" t="s">
        <v>64</v>
      </c>
      <c r="D13" s="1" t="s">
        <v>3</v>
      </c>
      <c r="E13" s="1" t="s">
        <v>39</v>
      </c>
      <c r="F13" s="3">
        <v>44341</v>
      </c>
      <c r="G13" s="3">
        <v>32762</v>
      </c>
      <c r="H13" s="1" t="s">
        <v>65</v>
      </c>
      <c r="I13" s="1">
        <v>65000</v>
      </c>
      <c r="J13" s="10" t="str">
        <f t="shared" si="0"/>
        <v>MUM</v>
      </c>
      <c r="K13" t="str">
        <f t="shared" si="1"/>
        <v>112</v>
      </c>
      <c r="L13" t="str">
        <f t="shared" si="2"/>
        <v>FIN</v>
      </c>
      <c r="M13">
        <f t="shared" si="3"/>
        <v>10</v>
      </c>
      <c r="N13" t="str">
        <f t="shared" si="4"/>
        <v>AMIT GUPTA</v>
      </c>
      <c r="O13" t="str">
        <f t="shared" si="5"/>
        <v>Amit Gupta</v>
      </c>
      <c r="P13">
        <f t="shared" si="6"/>
        <v>11</v>
      </c>
      <c r="Q13" t="str">
        <f t="shared" si="7"/>
        <v>amit.gupta</v>
      </c>
      <c r="R13" t="str">
        <f t="shared" si="8"/>
        <v>gmail.com</v>
      </c>
      <c r="S13" t="str">
        <f t="shared" si="9"/>
        <v>Gmail</v>
      </c>
      <c r="T13" t="str">
        <f t="shared" si="10"/>
        <v>E112-Amit Gupta</v>
      </c>
      <c r="U13" t="str">
        <f t="shared" si="11"/>
        <v>Amit Gupta|Finance|Mumbai</v>
      </c>
      <c r="V13" t="str">
        <f t="shared" si="12"/>
        <v>amit.gupta@company.com</v>
      </c>
      <c r="W13" s="11">
        <f t="shared" ca="1" si="13"/>
        <v>37.072222222222223</v>
      </c>
    </row>
    <row r="14" spans="1:24">
      <c r="A14" s="1" t="s">
        <v>66</v>
      </c>
      <c r="B14" s="1" t="s">
        <v>67</v>
      </c>
      <c r="C14" s="2" t="s">
        <v>68</v>
      </c>
      <c r="D14" s="1" t="s">
        <v>48</v>
      </c>
      <c r="E14" s="1" t="s">
        <v>25</v>
      </c>
      <c r="F14" s="3">
        <v>45572</v>
      </c>
      <c r="G14" s="3">
        <v>36910</v>
      </c>
      <c r="H14" s="1" t="s">
        <v>69</v>
      </c>
      <c r="I14" s="1">
        <v>40000</v>
      </c>
      <c r="J14" s="10" t="str">
        <f t="shared" si="0"/>
        <v>BLR</v>
      </c>
      <c r="K14" t="str">
        <f t="shared" si="1"/>
        <v>113</v>
      </c>
      <c r="L14" t="str">
        <f t="shared" si="2"/>
        <v>MKT</v>
      </c>
      <c r="M14">
        <f t="shared" si="3"/>
        <v>10</v>
      </c>
      <c r="N14" t="str">
        <f t="shared" si="4"/>
        <v>pooja nair</v>
      </c>
      <c r="O14" t="str">
        <f t="shared" si="5"/>
        <v>Pooja Nair</v>
      </c>
      <c r="P14">
        <f t="shared" si="6"/>
        <v>11</v>
      </c>
      <c r="Q14" t="str">
        <f t="shared" si="7"/>
        <v>pooja.nair</v>
      </c>
      <c r="R14" t="str">
        <f t="shared" si="8"/>
        <v>yahoo.com</v>
      </c>
      <c r="S14" t="str">
        <f t="shared" si="9"/>
        <v>Other</v>
      </c>
      <c r="T14" t="str">
        <f t="shared" si="10"/>
        <v>E113-Pooja Nair</v>
      </c>
      <c r="U14" t="str">
        <f t="shared" si="11"/>
        <v>Pooja Nair|Marketing|Bangalore</v>
      </c>
      <c r="V14" t="str">
        <f t="shared" si="12"/>
        <v>pooja.nair@yahoo.com</v>
      </c>
      <c r="W14" s="11">
        <f t="shared" ca="1" si="13"/>
        <v>25.716666666666665</v>
      </c>
    </row>
    <row r="15" spans="1:24">
      <c r="A15" s="1" t="s">
        <v>70</v>
      </c>
      <c r="B15" s="1" t="s">
        <v>71</v>
      </c>
      <c r="C15" s="2" t="s">
        <v>72</v>
      </c>
      <c r="D15" s="1" t="s">
        <v>1</v>
      </c>
      <c r="E15" s="1" t="s">
        <v>16</v>
      </c>
      <c r="F15" s="3">
        <v>44911</v>
      </c>
      <c r="G15" s="3">
        <v>34888</v>
      </c>
      <c r="H15" s="1" t="s">
        <v>73</v>
      </c>
      <c r="I15" s="1">
        <v>58000</v>
      </c>
      <c r="J15" s="10" t="str">
        <f t="shared" si="0"/>
        <v>HYD</v>
      </c>
      <c r="K15" t="str">
        <f t="shared" si="1"/>
        <v>114</v>
      </c>
      <c r="L15" t="str">
        <f t="shared" si="2"/>
        <v>IT-</v>
      </c>
      <c r="M15">
        <f t="shared" si="3"/>
        <v>11</v>
      </c>
      <c r="N15" t="str">
        <f t="shared" si="4"/>
        <v>Suresh Babu</v>
      </c>
      <c r="O15" t="str">
        <f t="shared" si="5"/>
        <v>Suresh Babu</v>
      </c>
      <c r="P15">
        <f t="shared" si="6"/>
        <v>12</v>
      </c>
      <c r="Q15" t="str">
        <f t="shared" si="7"/>
        <v>suresh.babu</v>
      </c>
      <c r="R15" t="str">
        <f t="shared" si="8"/>
        <v>gmail.com</v>
      </c>
      <c r="S15" t="str">
        <f t="shared" si="9"/>
        <v>Gmail</v>
      </c>
      <c r="T15" t="str">
        <f t="shared" si="10"/>
        <v>E114-Suresh Babu</v>
      </c>
      <c r="U15" t="str">
        <f t="shared" si="11"/>
        <v>Suresh Babu|IT|Hyderabad</v>
      </c>
      <c r="V15" t="str">
        <f t="shared" si="12"/>
        <v>suresh.babu@company.com</v>
      </c>
      <c r="W15" s="11">
        <f t="shared" ca="1" si="13"/>
        <v>31.247222222222224</v>
      </c>
    </row>
    <row r="16" spans="1:24">
      <c r="A16" s="1" t="s">
        <v>74</v>
      </c>
      <c r="B16" s="1" t="s">
        <v>75</v>
      </c>
      <c r="C16" s="2" t="s">
        <v>76</v>
      </c>
      <c r="D16" s="1" t="s">
        <v>2</v>
      </c>
      <c r="E16" s="1" t="s">
        <v>30</v>
      </c>
      <c r="F16" s="3">
        <v>44988</v>
      </c>
      <c r="G16" s="3">
        <v>35756</v>
      </c>
      <c r="H16" s="1" t="s">
        <v>77</v>
      </c>
      <c r="I16" s="1">
        <v>43000</v>
      </c>
      <c r="J16" s="10" t="str">
        <f t="shared" si="0"/>
        <v>CHE</v>
      </c>
      <c r="K16" t="str">
        <f t="shared" si="1"/>
        <v>115</v>
      </c>
      <c r="L16" t="str">
        <f t="shared" si="2"/>
        <v>HR-</v>
      </c>
      <c r="M16">
        <f t="shared" si="3"/>
        <v>11</v>
      </c>
      <c r="N16" t="str">
        <f t="shared" si="4"/>
        <v>DIVYA REDDY</v>
      </c>
      <c r="O16" t="str">
        <f t="shared" si="5"/>
        <v>Divya Reddy</v>
      </c>
      <c r="P16">
        <f t="shared" si="6"/>
        <v>12</v>
      </c>
      <c r="Q16" t="str">
        <f t="shared" si="7"/>
        <v>divya.reddy</v>
      </c>
      <c r="R16" t="str">
        <f t="shared" si="8"/>
        <v>gmail.com</v>
      </c>
      <c r="S16" t="str">
        <f t="shared" si="9"/>
        <v>Gmail</v>
      </c>
      <c r="T16" t="str">
        <f t="shared" si="10"/>
        <v>E115-Divya Reddy</v>
      </c>
      <c r="U16" t="str">
        <f t="shared" si="11"/>
        <v>Divya Reddy|HR|Chennai</v>
      </c>
      <c r="V16" t="str">
        <f t="shared" si="12"/>
        <v>divya.reddy@company.com</v>
      </c>
      <c r="W16" s="11">
        <f t="shared" ca="1" si="13"/>
        <v>28.875</v>
      </c>
    </row>
    <row r="17" spans="1:23">
      <c r="A17" s="1" t="s">
        <v>78</v>
      </c>
      <c r="B17" s="1" t="s">
        <v>79</v>
      </c>
      <c r="C17" s="2" t="s">
        <v>80</v>
      </c>
      <c r="D17" s="1" t="s">
        <v>4</v>
      </c>
      <c r="E17" s="1" t="s">
        <v>39</v>
      </c>
      <c r="F17" s="3">
        <v>44001</v>
      </c>
      <c r="G17" s="3">
        <v>32919</v>
      </c>
      <c r="H17" s="1" t="s">
        <v>81</v>
      </c>
      <c r="I17" s="1">
        <v>51000</v>
      </c>
      <c r="J17" s="10" t="str">
        <f t="shared" si="0"/>
        <v>MUM</v>
      </c>
      <c r="K17" t="str">
        <f t="shared" si="1"/>
        <v>116</v>
      </c>
      <c r="L17" t="str">
        <f t="shared" si="2"/>
        <v>SAL</v>
      </c>
      <c r="M17">
        <f t="shared" si="3"/>
        <v>12</v>
      </c>
      <c r="N17" t="str">
        <f t="shared" si="4"/>
        <v>Naveen Kumar</v>
      </c>
      <c r="O17" t="str">
        <f t="shared" si="5"/>
        <v>Naveen Kumar</v>
      </c>
      <c r="P17">
        <f t="shared" si="6"/>
        <v>13</v>
      </c>
      <c r="Q17" t="str">
        <f t="shared" si="7"/>
        <v>naveen.kumar</v>
      </c>
      <c r="R17" t="str">
        <f t="shared" si="8"/>
        <v>yahoo.com</v>
      </c>
      <c r="S17" t="str">
        <f t="shared" si="9"/>
        <v>Other</v>
      </c>
      <c r="T17" t="str">
        <f t="shared" si="10"/>
        <v>E116-Naveen Kumar</v>
      </c>
      <c r="U17" t="str">
        <f t="shared" si="11"/>
        <v>Naveen Kumar|Sales|Mumbai</v>
      </c>
      <c r="V17" t="str">
        <f t="shared" si="12"/>
        <v>naveen.kumar@yahoo.com</v>
      </c>
      <c r="W17" s="11">
        <f t="shared" ca="1" si="13"/>
        <v>36.644444444444446</v>
      </c>
    </row>
    <row r="18" spans="1:23">
      <c r="A18" s="1" t="s">
        <v>82</v>
      </c>
      <c r="B18" s="1" t="s">
        <v>83</v>
      </c>
      <c r="C18" s="2" t="s">
        <v>84</v>
      </c>
      <c r="D18" s="1" t="s">
        <v>3</v>
      </c>
      <c r="E18" s="1" t="s">
        <v>16</v>
      </c>
      <c r="F18" s="3">
        <v>45319</v>
      </c>
      <c r="G18" s="3">
        <v>36072</v>
      </c>
      <c r="H18" s="1" t="s">
        <v>85</v>
      </c>
      <c r="I18" s="1">
        <v>49000</v>
      </c>
      <c r="J18" s="10" t="str">
        <f t="shared" si="0"/>
        <v>HYD</v>
      </c>
      <c r="K18" t="str">
        <f t="shared" si="1"/>
        <v>117</v>
      </c>
      <c r="L18" t="str">
        <f t="shared" si="2"/>
        <v>FIN</v>
      </c>
      <c r="M18">
        <f t="shared" si="3"/>
        <v>10</v>
      </c>
      <c r="N18" t="str">
        <f t="shared" si="4"/>
        <v>Swathi Rao</v>
      </c>
      <c r="O18" t="str">
        <f t="shared" si="5"/>
        <v>Swathi Rao</v>
      </c>
      <c r="P18">
        <f t="shared" si="6"/>
        <v>11</v>
      </c>
      <c r="Q18" t="str">
        <f t="shared" si="7"/>
        <v>swathi.rao</v>
      </c>
      <c r="R18" t="str">
        <f t="shared" si="8"/>
        <v>gmail.com</v>
      </c>
      <c r="S18" t="str">
        <f t="shared" si="9"/>
        <v>Gmail</v>
      </c>
      <c r="T18" t="str">
        <f t="shared" si="10"/>
        <v>E117-Swathi Rao</v>
      </c>
      <c r="U18" t="str">
        <f t="shared" si="11"/>
        <v>Swathi Rao|Finance|Hyderabad</v>
      </c>
      <c r="V18" t="str">
        <f t="shared" si="12"/>
        <v>swathi.rao@company.com</v>
      </c>
      <c r="W18" s="11">
        <f t="shared" ca="1" si="13"/>
        <v>28.008333333333333</v>
      </c>
    </row>
    <row r="19" spans="1:23">
      <c r="A19" s="1" t="s">
        <v>86</v>
      </c>
      <c r="B19" s="1" t="s">
        <v>87</v>
      </c>
      <c r="C19" s="2" t="s">
        <v>88</v>
      </c>
      <c r="D19" s="1" t="s">
        <v>48</v>
      </c>
      <c r="E19" s="1" t="s">
        <v>30</v>
      </c>
      <c r="F19" s="3">
        <v>44421</v>
      </c>
      <c r="G19" s="3">
        <v>34118</v>
      </c>
      <c r="H19" s="1" t="s">
        <v>89</v>
      </c>
      <c r="I19" s="1">
        <v>53000</v>
      </c>
      <c r="J19" s="10" t="str">
        <f t="shared" si="0"/>
        <v>CHE</v>
      </c>
      <c r="K19" t="str">
        <f t="shared" si="1"/>
        <v>118</v>
      </c>
      <c r="L19" t="str">
        <f t="shared" si="2"/>
        <v>MKT</v>
      </c>
      <c r="M19">
        <f t="shared" si="3"/>
        <v>11</v>
      </c>
      <c r="N19" t="str">
        <f t="shared" si="4"/>
        <v>RAHUL VERMA</v>
      </c>
      <c r="O19" t="str">
        <f t="shared" si="5"/>
        <v>Rahul Verma</v>
      </c>
      <c r="P19">
        <f t="shared" si="6"/>
        <v>12</v>
      </c>
      <c r="Q19" t="str">
        <f t="shared" si="7"/>
        <v>rahul.verma</v>
      </c>
      <c r="R19" t="str">
        <f t="shared" si="8"/>
        <v>gmail.com</v>
      </c>
      <c r="S19" t="str">
        <f t="shared" si="9"/>
        <v>Gmail</v>
      </c>
      <c r="T19" t="str">
        <f t="shared" si="10"/>
        <v>E118-Rahul Verma</v>
      </c>
      <c r="U19" t="str">
        <f t="shared" si="11"/>
        <v>Rahul Verma|Marketing|Chennai</v>
      </c>
      <c r="V19" t="str">
        <f t="shared" si="12"/>
        <v>rahul.verma@company.com</v>
      </c>
      <c r="W19" s="11">
        <f t="shared" ca="1" si="13"/>
        <v>33.355555555555554</v>
      </c>
    </row>
    <row r="20" spans="1:23">
      <c r="A20" s="1"/>
      <c r="B20" s="1"/>
      <c r="C20" s="2"/>
      <c r="D20" s="1"/>
      <c r="E20" s="1"/>
      <c r="F20" s="4"/>
      <c r="G20" s="1"/>
      <c r="H20" s="1"/>
      <c r="I20" s="1"/>
    </row>
    <row r="24" spans="1:23">
      <c r="B24" s="6" t="s">
        <v>90</v>
      </c>
    </row>
    <row r="25" spans="1:23">
      <c r="B25" s="6" t="s">
        <v>91</v>
      </c>
    </row>
    <row r="26" spans="1:23">
      <c r="B26" s="6"/>
    </row>
    <row r="27" spans="1:23">
      <c r="B27" s="6" t="s">
        <v>92</v>
      </c>
    </row>
    <row r="28" spans="1:23">
      <c r="B28" s="6" t="s">
        <v>93</v>
      </c>
    </row>
    <row r="29" spans="1:23">
      <c r="B29" s="6"/>
    </row>
    <row r="30" spans="1:23">
      <c r="B30" s="6" t="s">
        <v>94</v>
      </c>
    </row>
    <row r="31" spans="1:23">
      <c r="B31" s="6" t="s">
        <v>95</v>
      </c>
    </row>
    <row r="32" spans="1:23">
      <c r="B32" s="6"/>
    </row>
    <row r="33" spans="2:2">
      <c r="B33" s="6" t="s">
        <v>96</v>
      </c>
    </row>
    <row r="34" spans="2:2">
      <c r="B34" s="6" t="s">
        <v>97</v>
      </c>
    </row>
    <row r="35" spans="2:2">
      <c r="B35" s="6" t="s">
        <v>98</v>
      </c>
    </row>
    <row r="36" spans="2:2">
      <c r="B36" s="6" t="s">
        <v>99</v>
      </c>
    </row>
    <row r="37" spans="2:2">
      <c r="B37" s="6" t="s">
        <v>100</v>
      </c>
    </row>
    <row r="38" spans="2:2">
      <c r="B38" s="6" t="s">
        <v>101</v>
      </c>
    </row>
    <row r="39" spans="2:2">
      <c r="B39" s="6" t="s">
        <v>102</v>
      </c>
    </row>
    <row r="40" spans="2:2">
      <c r="B40" s="6" t="s">
        <v>103</v>
      </c>
    </row>
    <row r="41" spans="2:2">
      <c r="B41" s="6" t="s">
        <v>104</v>
      </c>
    </row>
    <row r="42" spans="2:2">
      <c r="B42" s="6" t="s">
        <v>105</v>
      </c>
    </row>
    <row r="43" spans="2:2">
      <c r="B43" s="6" t="s">
        <v>106</v>
      </c>
    </row>
    <row r="44" spans="2:2">
      <c r="B44" s="6" t="s">
        <v>107</v>
      </c>
    </row>
    <row r="45" spans="2:2">
      <c r="B45" s="7" t="s">
        <v>108</v>
      </c>
    </row>
    <row r="46" spans="2:2">
      <c r="B46" s="6" t="s">
        <v>109</v>
      </c>
    </row>
    <row r="47" spans="2:2">
      <c r="B47" s="7" t="s">
        <v>110</v>
      </c>
    </row>
    <row r="48" spans="2:2">
      <c r="B48" s="6" t="s">
        <v>111</v>
      </c>
    </row>
    <row r="52" spans="2:8" ht="31">
      <c r="B52" s="8" t="s">
        <v>112</v>
      </c>
    </row>
    <row r="53" spans="2:8">
      <c r="B53" s="6"/>
    </row>
    <row r="54" spans="2:8">
      <c r="B54" s="6" t="s">
        <v>113</v>
      </c>
      <c r="F54">
        <f t="shared" ref="F54:F71" si="14">DAY(F2)</f>
        <v>15</v>
      </c>
      <c r="G54">
        <f>MONTH(F2)</f>
        <v>1</v>
      </c>
      <c r="H54">
        <f>YEAR(F2)</f>
        <v>2022</v>
      </c>
    </row>
    <row r="55" spans="2:8">
      <c r="B55" s="6" t="s">
        <v>114</v>
      </c>
      <c r="F55">
        <f t="shared" si="14"/>
        <v>22</v>
      </c>
      <c r="G55">
        <f t="shared" ref="G55:G71" si="15">MONTH(F3)</f>
        <v>3</v>
      </c>
      <c r="H55">
        <f t="shared" ref="H55:H71" si="16">YEAR(F3)</f>
        <v>2021</v>
      </c>
    </row>
    <row r="56" spans="2:8">
      <c r="B56" s="6" t="s">
        <v>115</v>
      </c>
      <c r="F56">
        <f t="shared" si="14"/>
        <v>10</v>
      </c>
      <c r="G56">
        <f t="shared" si="15"/>
        <v>7</v>
      </c>
      <c r="H56">
        <f t="shared" si="16"/>
        <v>2023</v>
      </c>
    </row>
    <row r="57" spans="2:8">
      <c r="B57" s="6" t="s">
        <v>116</v>
      </c>
      <c r="F57">
        <f t="shared" si="14"/>
        <v>5</v>
      </c>
      <c r="G57">
        <f t="shared" si="15"/>
        <v>2</v>
      </c>
      <c r="H57">
        <f t="shared" si="16"/>
        <v>2020</v>
      </c>
    </row>
    <row r="58" spans="2:8">
      <c r="B58" s="6" t="s">
        <v>117</v>
      </c>
      <c r="F58">
        <f t="shared" si="14"/>
        <v>18</v>
      </c>
      <c r="G58">
        <f t="shared" si="15"/>
        <v>9</v>
      </c>
      <c r="H58">
        <f t="shared" si="16"/>
        <v>2022</v>
      </c>
    </row>
    <row r="59" spans="2:8">
      <c r="B59" s="6" t="s">
        <v>118</v>
      </c>
      <c r="F59">
        <f t="shared" si="14"/>
        <v>11</v>
      </c>
      <c r="G59">
        <f t="shared" si="15"/>
        <v>4</v>
      </c>
      <c r="H59">
        <f t="shared" si="16"/>
        <v>2024</v>
      </c>
    </row>
    <row r="60" spans="2:8">
      <c r="B60" s="6" t="s">
        <v>119</v>
      </c>
      <c r="F60">
        <f t="shared" si="14"/>
        <v>27</v>
      </c>
      <c r="G60">
        <f t="shared" si="15"/>
        <v>11</v>
      </c>
      <c r="H60">
        <f t="shared" si="16"/>
        <v>2021</v>
      </c>
    </row>
    <row r="61" spans="2:8">
      <c r="B61" s="9">
        <v>44562</v>
      </c>
      <c r="F61">
        <f t="shared" si="14"/>
        <v>9</v>
      </c>
      <c r="G61">
        <f t="shared" si="15"/>
        <v>1</v>
      </c>
      <c r="H61">
        <f t="shared" si="16"/>
        <v>2023</v>
      </c>
    </row>
    <row r="62" spans="2:8">
      <c r="B62" s="6" t="s">
        <v>120</v>
      </c>
      <c r="F62">
        <f t="shared" si="14"/>
        <v>14</v>
      </c>
      <c r="G62">
        <f t="shared" si="15"/>
        <v>6</v>
      </c>
      <c r="H62">
        <f t="shared" si="16"/>
        <v>2020</v>
      </c>
    </row>
    <row r="63" spans="2:8">
      <c r="F63">
        <f t="shared" si="14"/>
        <v>30</v>
      </c>
      <c r="G63">
        <f t="shared" si="15"/>
        <v>8</v>
      </c>
      <c r="H63">
        <f t="shared" si="16"/>
        <v>2023</v>
      </c>
    </row>
    <row r="64" spans="2:8">
      <c r="F64">
        <f t="shared" si="14"/>
        <v>12</v>
      </c>
      <c r="G64">
        <f t="shared" si="15"/>
        <v>2</v>
      </c>
      <c r="H64">
        <f t="shared" si="16"/>
        <v>2022</v>
      </c>
    </row>
    <row r="65" spans="6:8">
      <c r="F65">
        <f t="shared" si="14"/>
        <v>25</v>
      </c>
      <c r="G65">
        <f t="shared" si="15"/>
        <v>5</v>
      </c>
      <c r="H65">
        <f t="shared" si="16"/>
        <v>2021</v>
      </c>
    </row>
    <row r="66" spans="6:8">
      <c r="F66">
        <f t="shared" si="14"/>
        <v>7</v>
      </c>
      <c r="G66">
        <f t="shared" si="15"/>
        <v>10</v>
      </c>
      <c r="H66">
        <f t="shared" si="16"/>
        <v>2024</v>
      </c>
    </row>
    <row r="67" spans="6:8">
      <c r="F67">
        <f t="shared" si="14"/>
        <v>16</v>
      </c>
      <c r="G67">
        <f t="shared" si="15"/>
        <v>12</v>
      </c>
      <c r="H67">
        <f t="shared" si="16"/>
        <v>2022</v>
      </c>
    </row>
    <row r="68" spans="6:8">
      <c r="F68">
        <f t="shared" si="14"/>
        <v>3</v>
      </c>
      <c r="G68">
        <f t="shared" si="15"/>
        <v>3</v>
      </c>
      <c r="H68">
        <f t="shared" si="16"/>
        <v>2023</v>
      </c>
    </row>
    <row r="69" spans="6:8">
      <c r="F69">
        <f t="shared" si="14"/>
        <v>19</v>
      </c>
      <c r="G69">
        <f t="shared" si="15"/>
        <v>6</v>
      </c>
      <c r="H69">
        <f t="shared" si="16"/>
        <v>2020</v>
      </c>
    </row>
    <row r="70" spans="6:8">
      <c r="F70">
        <f t="shared" si="14"/>
        <v>28</v>
      </c>
      <c r="G70">
        <f t="shared" si="15"/>
        <v>1</v>
      </c>
      <c r="H70">
        <f t="shared" si="16"/>
        <v>2024</v>
      </c>
    </row>
    <row r="71" spans="6:8">
      <c r="F71">
        <f t="shared" si="14"/>
        <v>13</v>
      </c>
      <c r="G71">
        <f t="shared" si="15"/>
        <v>8</v>
      </c>
      <c r="H71">
        <f t="shared" si="16"/>
        <v>2021</v>
      </c>
    </row>
  </sheetData>
  <hyperlinks>
    <hyperlink ref="C2" r:id="rId1" display="mailto:rahul.sharma@gmail.com" xr:uid="{1C3D5F69-312A-46FC-8DF4-852A62E9827F}"/>
    <hyperlink ref="C3" r:id="rId2" display="mailto:priya.reddy@gmail.com" xr:uid="{0FC4D80E-3CBB-4791-AE9B-F5080EDD2900}"/>
    <hyperlink ref="C4" r:id="rId3" display="mailto:anil.kumar@gmail.com" xr:uid="{BCFD3F2C-2646-4DF1-A711-BEE80CA40080}"/>
    <hyperlink ref="C5" r:id="rId4" display="mailto:sneha.rao@yahoo.com" xr:uid="{F70B1367-08F0-427C-8FCE-D91B96C8E8FC}"/>
    <hyperlink ref="C6" r:id="rId5" display="mailto:arjun.verma@gmail.com" xr:uid="{0B47202F-CA56-43C8-B032-DBD4422ED1CA}"/>
    <hyperlink ref="C7" r:id="rId6" display="mailto:meena.devi@gmail.com" xr:uid="{B1EEC86C-62F0-4C49-BEE4-01769DDF2205}"/>
    <hyperlink ref="C8" r:id="rId7" display="mailto:kiran.reddy@yahoo.com" xr:uid="{17B71614-A8F8-4C00-98EF-CE10B1EDD4E4}"/>
    <hyperlink ref="C9" r:id="rId8" display="mailto:rohit.kumar@gmail.com" xr:uid="{D51BB6DD-7CE8-47E7-A8E2-DD7EA2D4B4DD}"/>
    <hyperlink ref="C10" r:id="rId9" display="mailto:anjali.sharma@gmail.com" xr:uid="{29CA8FC0-A33D-4012-8CEB-CD9697E92BF4}"/>
    <hyperlink ref="C11" r:id="rId10" display="mailto:vikram.singh@yahoo.com" xr:uid="{4A12249C-FB4A-4522-84FF-5ADD4E5B24B7}"/>
    <hyperlink ref="C12" r:id="rId11" display="mailto:neha.patel@gmail.com" xr:uid="{9B4CF4B8-7AA3-4115-A664-C4E09740529A}"/>
    <hyperlink ref="C13" r:id="rId12" display="mailto:amit.gupta@gmail.com" xr:uid="{5622450A-1E95-440E-AB3D-22758964EA59}"/>
    <hyperlink ref="C14" r:id="rId13" display="mailto:pooja.nair@yahoo.com" xr:uid="{B6A0B4F9-098B-4671-83AC-75648B0D8950}"/>
    <hyperlink ref="C15" r:id="rId14" display="mailto:suresh.babu@gmail.com" xr:uid="{0137BE0B-0A8C-4D73-8CF1-C4D47CCFA7AF}"/>
    <hyperlink ref="C16" r:id="rId15" display="mailto:divya.reddy@gmail.com" xr:uid="{3501E415-3CB9-4B81-ACA0-F5A886041CD2}"/>
    <hyperlink ref="C17" r:id="rId16" display="mailto:naveen.kumar@yahoo.com" xr:uid="{C0FAAD72-BF57-4821-AE7F-7605012586E2}"/>
    <hyperlink ref="C18" r:id="rId17" display="mailto:swathi.rao@gmail.com" xr:uid="{4D7F550B-89EB-49F6-B13C-A1CAC9C8A0C4}"/>
    <hyperlink ref="C19" r:id="rId18" display="mailto:rahul.verma@gmail.com" xr:uid="{0BC2C5F5-1416-40A1-9CC2-9F2AF47F53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JASHUVA PRAKASH MIRIYALA</cp:lastModifiedBy>
  <dcterms:created xsi:type="dcterms:W3CDTF">2026-09-10T17:11:08Z</dcterms:created>
  <dcterms:modified xsi:type="dcterms:W3CDTF">2026-10-07T09:03:38Z</dcterms:modified>
</cp:coreProperties>
</file>